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0" documentId="13_ncr:1_{A305D4F0-F3FC-4F3C-BED2-FE35EB937A35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Main" sheetId="1" r:id="rId1"/>
    <sheet name="Design Steps" sheetId="2" r:id="rId2"/>
    <sheet name="Slot Pole Combination" sheetId="3" r:id="rId3"/>
    <sheet name="Apex" sheetId="7" r:id="rId4"/>
    <sheet name="Main Dimensions" sheetId="4" r:id="rId5"/>
    <sheet name="6P_36S" sheetId="8" r:id="rId6"/>
    <sheet name="Winding Factor Sheet" sheetId="5" r:id="rId7"/>
  </sheets>
  <calcPr calcId="181029"/>
</workbook>
</file>

<file path=xl/calcChain.xml><?xml version="1.0" encoding="utf-8"?>
<calcChain xmlns="http://schemas.openxmlformats.org/spreadsheetml/2006/main">
  <c r="C6" i="4" l="1"/>
  <c r="H9" i="4" s="1"/>
  <c r="H35" i="4"/>
  <c r="C56" i="8"/>
  <c r="H41" i="8"/>
  <c r="H43" i="8" s="1"/>
  <c r="H35" i="8"/>
  <c r="H31" i="8"/>
  <c r="H32" i="8" s="1"/>
  <c r="H27" i="8"/>
  <c r="H26" i="8"/>
  <c r="H9" i="8"/>
  <c r="C7" i="8"/>
  <c r="C6" i="8"/>
  <c r="H2" i="8"/>
  <c r="H27" i="4"/>
  <c r="I2" i="5"/>
  <c r="C16" i="4" s="1"/>
  <c r="H11" i="4" s="1"/>
  <c r="C31" i="7"/>
  <c r="C33" i="7" s="1"/>
  <c r="H28" i="7"/>
  <c r="N22" i="7"/>
  <c r="N23" i="7" s="1"/>
  <c r="N21" i="7"/>
  <c r="N19" i="7"/>
  <c r="H20" i="7" s="1"/>
  <c r="H19" i="7" s="1"/>
  <c r="C54" i="7"/>
  <c r="H2" i="7"/>
  <c r="L36" i="1"/>
  <c r="G40" i="1"/>
  <c r="G42" i="1" s="1"/>
  <c r="L55" i="1"/>
  <c r="G20" i="1"/>
  <c r="G14" i="1" s="1"/>
  <c r="G5" i="1"/>
  <c r="G31" i="1"/>
  <c r="G12" i="1"/>
  <c r="H2" i="4"/>
  <c r="D4" i="3"/>
  <c r="D6" i="3" s="1"/>
  <c r="D3" i="3"/>
  <c r="E4" i="3"/>
  <c r="E6" i="3" s="1"/>
  <c r="E3" i="3"/>
  <c r="G4" i="3"/>
  <c r="G6" i="3" s="1"/>
  <c r="H4" i="3"/>
  <c r="H6" i="3" s="1"/>
  <c r="F4" i="3"/>
  <c r="F6" i="3" s="1"/>
  <c r="H3" i="3"/>
  <c r="G3" i="3"/>
  <c r="F3" i="3"/>
  <c r="G72" i="1"/>
  <c r="C15" i="8" l="1"/>
  <c r="H11" i="8" s="1"/>
  <c r="H13" i="8" s="1"/>
  <c r="H15" i="8" s="1"/>
  <c r="H18" i="8" s="1"/>
  <c r="H16" i="8" s="1"/>
  <c r="H7" i="8" s="1"/>
  <c r="H5" i="8" s="1"/>
  <c r="C55" i="8"/>
  <c r="C57" i="8" s="1"/>
  <c r="H33" i="8"/>
  <c r="H34" i="8"/>
  <c r="C7" i="4"/>
  <c r="C57" i="4"/>
  <c r="C13" i="7"/>
  <c r="H11" i="7" s="1"/>
  <c r="H24" i="7"/>
  <c r="S8" i="7"/>
  <c r="N18" i="7"/>
  <c r="N17" i="7" s="1"/>
  <c r="H9" i="7"/>
  <c r="H34" i="7"/>
  <c r="H36" i="7" s="1"/>
  <c r="C7" i="7"/>
  <c r="H26" i="4"/>
  <c r="H13" i="4"/>
  <c r="H15" i="4" s="1"/>
  <c r="G67" i="1"/>
  <c r="J15" i="8" l="1"/>
  <c r="H51" i="8"/>
  <c r="H50" i="8" s="1"/>
  <c r="H46" i="8"/>
  <c r="H47" i="8" s="1"/>
  <c r="H45" i="8"/>
  <c r="H48" i="8" s="1"/>
  <c r="H17" i="8"/>
  <c r="J16" i="8"/>
  <c r="H20" i="8" s="1"/>
  <c r="H21" i="8" s="1"/>
  <c r="H22" i="8" s="1"/>
  <c r="H28" i="8" s="1"/>
  <c r="H21" i="7"/>
  <c r="H30" i="7" s="1"/>
  <c r="H13" i="7"/>
  <c r="H15" i="7" s="1"/>
  <c r="H18" i="7" s="1"/>
  <c r="H16" i="7" s="1"/>
  <c r="H27" i="7"/>
  <c r="H25" i="7"/>
  <c r="H51" i="4"/>
  <c r="H18" i="4"/>
  <c r="H16" i="4" s="1"/>
  <c r="H7" i="4" s="1"/>
  <c r="H5" i="4" s="1"/>
  <c r="H46" i="4" s="1"/>
  <c r="H47" i="4" s="1"/>
  <c r="J15" i="4"/>
  <c r="G69" i="1"/>
  <c r="G77" i="1"/>
  <c r="H12" i="8" l="1"/>
  <c r="H37" i="8"/>
  <c r="C37" i="8"/>
  <c r="H49" i="8"/>
  <c r="H53" i="8" s="1"/>
  <c r="C53" i="8"/>
  <c r="S9" i="7"/>
  <c r="S11" i="7" s="1"/>
  <c r="N26" i="7"/>
  <c r="J15" i="7"/>
  <c r="H44" i="7"/>
  <c r="H43" i="7" s="1"/>
  <c r="C53" i="7"/>
  <c r="C55" i="7" s="1"/>
  <c r="H26" i="7"/>
  <c r="S10" i="7"/>
  <c r="J16" i="7"/>
  <c r="H17" i="7"/>
  <c r="H7" i="7"/>
  <c r="H5" i="7" s="1"/>
  <c r="C35" i="7"/>
  <c r="H12" i="7"/>
  <c r="H50" i="4"/>
  <c r="C54" i="4" s="1"/>
  <c r="H45" i="4"/>
  <c r="H48" i="4" s="1"/>
  <c r="H17" i="4"/>
  <c r="J16" i="4"/>
  <c r="H21" i="4" s="1"/>
  <c r="G29" i="1"/>
  <c r="G27" i="1" s="1"/>
  <c r="H22" i="4" l="1"/>
  <c r="H28" i="4" s="1"/>
  <c r="H37" i="4" s="1"/>
  <c r="C51" i="7"/>
  <c r="H42" i="7"/>
  <c r="H46" i="7" s="1"/>
  <c r="H39" i="7"/>
  <c r="H40" i="7" s="1"/>
  <c r="H38" i="7"/>
  <c r="H41" i="7" s="1"/>
  <c r="H49" i="4"/>
  <c r="H53" i="4" s="1"/>
  <c r="G3" i="1"/>
  <c r="G8" i="1" s="1"/>
  <c r="G6" i="1" s="1"/>
  <c r="G7" i="1" s="1"/>
  <c r="G16" i="1" l="1"/>
  <c r="G32" i="1"/>
  <c r="G33" i="1" s="1"/>
  <c r="L56" i="1" s="1"/>
  <c r="G19" i="1"/>
  <c r="G46" i="1"/>
  <c r="G23" i="1"/>
  <c r="G24" i="1" s="1"/>
  <c r="G53" i="1" s="1"/>
  <c r="G15" i="1"/>
  <c r="G4" i="1"/>
  <c r="G35" i="1" l="1"/>
  <c r="G80" i="1" l="1"/>
  <c r="G36" i="1"/>
  <c r="G73" i="1"/>
  <c r="G38" i="1" l="1"/>
  <c r="G39" i="1" s="1"/>
  <c r="G48" i="1" l="1"/>
  <c r="G49" i="1" s="1"/>
  <c r="G51" i="1" s="1"/>
  <c r="G52" i="1" s="1"/>
  <c r="G44" i="1"/>
  <c r="L57" i="1" l="1"/>
  <c r="L58" i="1" s="1"/>
  <c r="G55" i="1" s="1"/>
  <c r="G56" i="1" s="1"/>
  <c r="G43" i="1"/>
  <c r="G71" i="1" l="1"/>
  <c r="G74" i="1" s="1"/>
  <c r="G75" i="1" s="1"/>
  <c r="G79" i="1" s="1"/>
  <c r="L44" i="1"/>
  <c r="G57" i="1"/>
  <c r="G58" i="1" s="1"/>
  <c r="G60" i="1" s="1"/>
  <c r="G63" i="1" l="1"/>
  <c r="G61" i="1"/>
  <c r="H31" i="4"/>
  <c r="H41" i="4"/>
  <c r="H43" i="4" s="1"/>
  <c r="H34" i="4" l="1"/>
  <c r="H32" i="4"/>
  <c r="H33" i="4" l="1"/>
  <c r="C56" i="4"/>
  <c r="C58" i="4" s="1"/>
  <c r="C38" i="4"/>
  <c r="H12" i="4"/>
</calcChain>
</file>

<file path=xl/sharedStrings.xml><?xml version="1.0" encoding="utf-8"?>
<sst xmlns="http://schemas.openxmlformats.org/spreadsheetml/2006/main" count="790" uniqueCount="348">
  <si>
    <t>Parameter</t>
  </si>
  <si>
    <t>Value</t>
  </si>
  <si>
    <t>Unit</t>
  </si>
  <si>
    <t>Description</t>
  </si>
  <si>
    <t>Independent Variables</t>
  </si>
  <si>
    <t>Dependent Variables</t>
  </si>
  <si>
    <t>P_out</t>
  </si>
  <si>
    <t>Power output</t>
  </si>
  <si>
    <t>Speed</t>
  </si>
  <si>
    <t>RPM</t>
  </si>
  <si>
    <t>Rated Speed</t>
  </si>
  <si>
    <t>Torque</t>
  </si>
  <si>
    <t>Nm</t>
  </si>
  <si>
    <t>rad/s</t>
  </si>
  <si>
    <t>Design Torque (10%)</t>
  </si>
  <si>
    <t>Design Speed (10%)</t>
  </si>
  <si>
    <t>Rated Torque</t>
  </si>
  <si>
    <t>W</t>
  </si>
  <si>
    <t>Wd</t>
  </si>
  <si>
    <t>Design Power</t>
  </si>
  <si>
    <t>RPM = 120*f/p</t>
  </si>
  <si>
    <t xml:space="preserve">Selection of No. of Poles </t>
  </si>
  <si>
    <t>p</t>
  </si>
  <si>
    <t>No. of poles</t>
  </si>
  <si>
    <t>f</t>
  </si>
  <si>
    <t>Supply Frequency</t>
  </si>
  <si>
    <t>Hz</t>
  </si>
  <si>
    <t>Selection of Pole Slot Combination Pending</t>
  </si>
  <si>
    <t>No. of Slots in Stator</t>
  </si>
  <si>
    <t>q = Ns/(m*p)</t>
  </si>
  <si>
    <t xml:space="preserve">q </t>
  </si>
  <si>
    <t>No. of stator slots per pole</t>
  </si>
  <si>
    <t>Ns</t>
  </si>
  <si>
    <t>Total Stator Slots</t>
  </si>
  <si>
    <t>m</t>
  </si>
  <si>
    <t>No. of Phases</t>
  </si>
  <si>
    <t>poles</t>
  </si>
  <si>
    <t>q</t>
  </si>
  <si>
    <t>DC Voltage</t>
  </si>
  <si>
    <t>Voltage drop</t>
  </si>
  <si>
    <t>V</t>
  </si>
  <si>
    <t>Modulation Index of SVM</t>
  </si>
  <si>
    <t>Calculation of Line to Line Voltage</t>
  </si>
  <si>
    <t>Desired Efficiency</t>
  </si>
  <si>
    <t>%</t>
  </si>
  <si>
    <t>Qin</t>
  </si>
  <si>
    <t>Desired Power Factor</t>
  </si>
  <si>
    <t>Electric Power</t>
  </si>
  <si>
    <t>It_rms</t>
  </si>
  <si>
    <t>VA</t>
  </si>
  <si>
    <t>A</t>
  </si>
  <si>
    <t>Connection</t>
  </si>
  <si>
    <t>Winding Type</t>
  </si>
  <si>
    <t>Iph_rms</t>
  </si>
  <si>
    <t>Star</t>
  </si>
  <si>
    <t>Phase Current</t>
  </si>
  <si>
    <t>Vph_rms</t>
  </si>
  <si>
    <t>Phase Voltage</t>
  </si>
  <si>
    <t>Vt</t>
  </si>
  <si>
    <t>Terminal Line to Line voltage for Motor SVM</t>
  </si>
  <si>
    <t>No. of parallel passes</t>
  </si>
  <si>
    <t>M</t>
  </si>
  <si>
    <t>Ic</t>
  </si>
  <si>
    <t>Vc</t>
  </si>
  <si>
    <t>Coil Current</t>
  </si>
  <si>
    <t>Coil Voltage</t>
  </si>
  <si>
    <t>No. of stator slots</t>
  </si>
  <si>
    <t>Ncpph</t>
  </si>
  <si>
    <t>No. of coils per phase</t>
  </si>
  <si>
    <t>Np</t>
  </si>
  <si>
    <t>V_dc</t>
  </si>
  <si>
    <t>Pm_out = G x D^2 x L x rps</t>
  </si>
  <si>
    <t>G</t>
  </si>
  <si>
    <t>Motor Output Constant</t>
  </si>
  <si>
    <t>D^2 x L</t>
  </si>
  <si>
    <t>Rotor Volume</t>
  </si>
  <si>
    <t>rps</t>
  </si>
  <si>
    <t>rev per second</t>
  </si>
  <si>
    <t>Vt ​= Vdc​​/Sqrt(2)</t>
  </si>
  <si>
    <t>Motor Output Power (kW)</t>
  </si>
  <si>
    <t>Sr.</t>
  </si>
  <si>
    <t>Task</t>
  </si>
  <si>
    <t>Variable</t>
  </si>
  <si>
    <t>Selection of Basic Motor Parameters</t>
  </si>
  <si>
    <t xml:space="preserve">Analytical Design of Stator </t>
  </si>
  <si>
    <t>Selection of slot pole combination</t>
  </si>
  <si>
    <t>G = 1.1 x PI()^2 x Kw x Bav x ac</t>
  </si>
  <si>
    <t>Kw</t>
  </si>
  <si>
    <t>Winding Factor</t>
  </si>
  <si>
    <t>Bav</t>
  </si>
  <si>
    <t>ac</t>
  </si>
  <si>
    <t>T</t>
  </si>
  <si>
    <t>Magnetic Loading ( Total magnetic flux crossing air gap/total area of motor)</t>
  </si>
  <si>
    <t>Ampere Loading( Total current in coils/area of full motor )</t>
  </si>
  <si>
    <t>kA/m</t>
  </si>
  <si>
    <t>J/m^3</t>
  </si>
  <si>
    <t>Motor Power Constant</t>
  </si>
  <si>
    <t>ar</t>
  </si>
  <si>
    <t>aspect ratio ( ratio of stack length to pole pitch )</t>
  </si>
  <si>
    <t>Pole Pitch</t>
  </si>
  <si>
    <t>tau_p</t>
  </si>
  <si>
    <t xml:space="preserve">D </t>
  </si>
  <si>
    <t>Bore Diameter</t>
  </si>
  <si>
    <t>Stacking Length</t>
  </si>
  <si>
    <t xml:space="preserve">mm </t>
  </si>
  <si>
    <t>D^2L</t>
  </si>
  <si>
    <t>Rotor Volume Product</t>
  </si>
  <si>
    <t>Total Flux in the air gap</t>
  </si>
  <si>
    <t>mWb</t>
  </si>
  <si>
    <t>Phi_total</t>
  </si>
  <si>
    <t>Phi_pole</t>
  </si>
  <si>
    <t>Pole Flux</t>
  </si>
  <si>
    <t>bs0</t>
  </si>
  <si>
    <t>mm</t>
  </si>
  <si>
    <t>Stator Slot Opening Width = (1.5-3* Winding Wire Dia), &gt; g</t>
  </si>
  <si>
    <t>g</t>
  </si>
  <si>
    <t>air gap width</t>
  </si>
  <si>
    <t>hs0</t>
  </si>
  <si>
    <t>value should be high enough to avoid magnetic flux saturation in stator tooth tip, &gt; thickness of stator lamination</t>
  </si>
  <si>
    <t>hs1</t>
  </si>
  <si>
    <t>Slot depth</t>
  </si>
  <si>
    <t>Bst</t>
  </si>
  <si>
    <t>Maximum Flux Density in stator tooth</t>
  </si>
  <si>
    <t>Ki</t>
  </si>
  <si>
    <t>Stacking Factor = w_iron/w_iron+w_insulation</t>
  </si>
  <si>
    <t xml:space="preserve"> </t>
  </si>
  <si>
    <t>Phi_st</t>
  </si>
  <si>
    <t>width of stator tooth</t>
  </si>
  <si>
    <t>bs1</t>
  </si>
  <si>
    <t>Bsy</t>
  </si>
  <si>
    <t>Maximum Flux Density in stator yoke</t>
  </si>
  <si>
    <t>wsy</t>
  </si>
  <si>
    <t>width of stator yoke</t>
  </si>
  <si>
    <t>g_emf</t>
  </si>
  <si>
    <t>E_ph</t>
  </si>
  <si>
    <t>Phase Back Emf</t>
  </si>
  <si>
    <t>gamma dimensionless quantity = Phase Back EMF/ Phase Voltage</t>
  </si>
  <si>
    <t>Ntph</t>
  </si>
  <si>
    <t>Ntc</t>
  </si>
  <si>
    <t>No. of turns per phase (round off to integer)</t>
  </si>
  <si>
    <t>No. of turns in single coil (round off to integer)</t>
  </si>
  <si>
    <t>Update and Tuning</t>
  </si>
  <si>
    <t>gAca</t>
  </si>
  <si>
    <t>cAca</t>
  </si>
  <si>
    <t>Copper area of coil arm</t>
  </si>
  <si>
    <t>Gross Area of Coil Arm = area of ( copper arm + insulation)</t>
  </si>
  <si>
    <t xml:space="preserve">mm^2 </t>
  </si>
  <si>
    <t>Kf</t>
  </si>
  <si>
    <t>Slot fill factor = cAca/gAca</t>
  </si>
  <si>
    <t>cAsc</t>
  </si>
  <si>
    <t>Jsw</t>
  </si>
  <si>
    <t>A/mm^2</t>
  </si>
  <si>
    <t>Copper area of single conductor ( Update with SWG or AWG table )</t>
  </si>
  <si>
    <t>Maximum Current Density in Stator winding</t>
  </si>
  <si>
    <t>hs2</t>
  </si>
  <si>
    <t>r1</t>
  </si>
  <si>
    <t>r2</t>
  </si>
  <si>
    <t>b</t>
  </si>
  <si>
    <t>Delta</t>
  </si>
  <si>
    <t>bs2</t>
  </si>
  <si>
    <t>Slot bottom width</t>
  </si>
  <si>
    <t>hs22</t>
  </si>
  <si>
    <t>Variables for hs2 calculation</t>
  </si>
  <si>
    <t>L_stk</t>
  </si>
  <si>
    <t>Kl</t>
  </si>
  <si>
    <t>Leakage Factor ( 0.9 - 1 )</t>
  </si>
  <si>
    <t>Kr</t>
  </si>
  <si>
    <t>Reluctance Factor ( MMF drop in magnet/iron )( 1 - 1.2)</t>
  </si>
  <si>
    <t>Br</t>
  </si>
  <si>
    <t>Tesla</t>
  </si>
  <si>
    <t>Remanence flux density of magnets</t>
  </si>
  <si>
    <t>Hc</t>
  </si>
  <si>
    <t>Hm</t>
  </si>
  <si>
    <t>Assummed working MMF of magnet</t>
  </si>
  <si>
    <t>Bm</t>
  </si>
  <si>
    <t>muM</t>
  </si>
  <si>
    <t>Permeability of magnet</t>
  </si>
  <si>
    <t>( Hc , Hm and Br value obtained from magnet grade and B-H Normal Curve ( Normal curve is by plotting B ( mag flux density) as a function of external field Hext )</t>
  </si>
  <si>
    <t>Coercivity Force ( Magnitude of Magnetization of magnets in FEA model),( BH curve x axis )</t>
  </si>
  <si>
    <t>Working point of magnet ( B = muM*H + Br )</t>
  </si>
  <si>
    <t>dm</t>
  </si>
  <si>
    <t>wm</t>
  </si>
  <si>
    <t>width of magnet ( Rough Calculation )</t>
  </si>
  <si>
    <t>depth of magnet ( Rough Calculation )</t>
  </si>
  <si>
    <t>Carter Factor ( Accounts for the reluctance of air gap at the stator slot opening )( Calculated using FEM )</t>
  </si>
  <si>
    <t>Kcs</t>
  </si>
  <si>
    <t>Stator Slot Pitch</t>
  </si>
  <si>
    <t>Kgs</t>
  </si>
  <si>
    <t>Relucatance Ratio ( Calculated From FEA )</t>
  </si>
  <si>
    <t>ys</t>
  </si>
  <si>
    <t>width of stator tooth + width of slot of stator</t>
  </si>
  <si>
    <t>ge</t>
  </si>
  <si>
    <t>Hg60</t>
  </si>
  <si>
    <t>Air gap magnetic field at 60 degrees</t>
  </si>
  <si>
    <t>A/m</t>
  </si>
  <si>
    <t>F/m</t>
  </si>
  <si>
    <t>Bg60</t>
  </si>
  <si>
    <t>Air gap magnetic flux density at 60 degrees</t>
  </si>
  <si>
    <t>Working Point for Magnet ( decided from magnet material graph intepolation )</t>
  </si>
  <si>
    <t>Slot Pole Combination Checklist</t>
  </si>
  <si>
    <t>GCD</t>
  </si>
  <si>
    <t>LCM</t>
  </si>
  <si>
    <t>Gap Contraction factor</t>
  </si>
  <si>
    <t>Pole arc - pole pitch ratio</t>
  </si>
  <si>
    <t>Radial Forces/ Assymmetric Forces</t>
  </si>
  <si>
    <t>Slot</t>
  </si>
  <si>
    <t>Pole</t>
  </si>
  <si>
    <t>Slotting Effect</t>
  </si>
  <si>
    <t>Balanced Winding</t>
  </si>
  <si>
    <t>Independent inputs</t>
  </si>
  <si>
    <t>Dependent/Calculated Parameters</t>
  </si>
  <si>
    <t>Q</t>
  </si>
  <si>
    <t>Power</t>
  </si>
  <si>
    <t>Base Speed</t>
  </si>
  <si>
    <t>rpm</t>
  </si>
  <si>
    <t>frequency</t>
  </si>
  <si>
    <t>No. of Poles</t>
  </si>
  <si>
    <t>Magnetic Loading</t>
  </si>
  <si>
    <t>Electric Loading</t>
  </si>
  <si>
    <t>Wb/m2</t>
  </si>
  <si>
    <t>Efficiency</t>
  </si>
  <si>
    <t>Power Factor</t>
  </si>
  <si>
    <t>kVA</t>
  </si>
  <si>
    <t>Phi_m</t>
  </si>
  <si>
    <t>Rotor Curved Surface Area</t>
  </si>
  <si>
    <t>Input Power ( Q = P/efficiency*powerfactor )</t>
  </si>
  <si>
    <t>Synchronous Speed ( Rotor speed in rps)</t>
  </si>
  <si>
    <t>N_s</t>
  </si>
  <si>
    <t>m^2</t>
  </si>
  <si>
    <t>Wb</t>
  </si>
  <si>
    <t>Output Constant ( G = 1.11 * Pi^2 * Bav * ac * Kw * 10^-3 )</t>
  </si>
  <si>
    <t>P</t>
  </si>
  <si>
    <t>L/D</t>
  </si>
  <si>
    <t>n</t>
  </si>
  <si>
    <t>pf</t>
  </si>
  <si>
    <t>N</t>
  </si>
  <si>
    <t>Vdc</t>
  </si>
  <si>
    <t>Slots</t>
  </si>
  <si>
    <t>Rotor Volume ( Q = G*D^2L*N_s)</t>
  </si>
  <si>
    <t>D</t>
  </si>
  <si>
    <t xml:space="preserve">Pole Air gap flux ( Magnetic Loading*Curved Surface Area) </t>
  </si>
  <si>
    <t>L</t>
  </si>
  <si>
    <t>tau</t>
  </si>
  <si>
    <t>m^3</t>
  </si>
  <si>
    <t>2 to 14</t>
  </si>
  <si>
    <t>L/tau</t>
  </si>
  <si>
    <t>aspect ratio</t>
  </si>
  <si>
    <t>tau = pole pitch = Pi*D/p</t>
  </si>
  <si>
    <t xml:space="preserve"> 1 to 3</t>
  </si>
  <si>
    <t>3 to 42</t>
  </si>
  <si>
    <t>Reasons</t>
  </si>
  <si>
    <t>1. Frequency proporitonal to No. of poles so lower number equals higher max speed</t>
  </si>
  <si>
    <t xml:space="preserve">2. Lower poles mean more end windings and higher stator &amp; rotor yoke </t>
  </si>
  <si>
    <t>3. Iron losses and stator flux saturation increase with higher number of poles</t>
  </si>
  <si>
    <t>Period of Cogging torque</t>
  </si>
  <si>
    <t>Terminal Line Current for Motor SVM</t>
  </si>
  <si>
    <t>V_line</t>
  </si>
  <si>
    <t>V_ph</t>
  </si>
  <si>
    <t xml:space="preserve">Line current rms </t>
  </si>
  <si>
    <t>I_line</t>
  </si>
  <si>
    <t>I_phase</t>
  </si>
  <si>
    <t>I_coil</t>
  </si>
  <si>
    <t>Parallel Paths</t>
  </si>
  <si>
    <t>Nc</t>
  </si>
  <si>
    <t>Phases</t>
  </si>
  <si>
    <t>Ntpc</t>
  </si>
  <si>
    <t>No. of turns per coil</t>
  </si>
  <si>
    <t>Coil Current = phase current/parallel paths</t>
  </si>
  <si>
    <t>Star : Vdc = Vphase / Vph = 4.44 * f * Ntph * Phi_m * Kw</t>
  </si>
  <si>
    <t>P_in</t>
  </si>
  <si>
    <t>air gap</t>
  </si>
  <si>
    <t>Tip Speed</t>
  </si>
  <si>
    <t>m/s</t>
  </si>
  <si>
    <t>Is</t>
  </si>
  <si>
    <t>Stator Phase Current = Q/3*V_ph*10^-3</t>
  </si>
  <si>
    <t>Current Density</t>
  </si>
  <si>
    <t>3to5</t>
  </si>
  <si>
    <t>con_area</t>
  </si>
  <si>
    <t>mm^2</t>
  </si>
  <si>
    <t>phi_st</t>
  </si>
  <si>
    <t>Bmax(Stator Tooth)</t>
  </si>
  <si>
    <t>Bmax(Stator Yoke)</t>
  </si>
  <si>
    <t>1.1to1.5</t>
  </si>
  <si>
    <t>1.5to2</t>
  </si>
  <si>
    <t>Stator Slot Dimensions</t>
  </si>
  <si>
    <t>Iron Insulation Factor/Stacking Factor</t>
  </si>
  <si>
    <t>Wsy</t>
  </si>
  <si>
    <t>Stator Yoke Width</t>
  </si>
  <si>
    <t xml:space="preserve">m </t>
  </si>
  <si>
    <t>Synchronous Speed</t>
  </si>
  <si>
    <t>kVA/W</t>
  </si>
  <si>
    <t>Input Power</t>
  </si>
  <si>
    <t>rev/s</t>
  </si>
  <si>
    <t>tau_s</t>
  </si>
  <si>
    <t>Effective air gap length</t>
  </si>
  <si>
    <t>x1</t>
  </si>
  <si>
    <t>x2</t>
  </si>
  <si>
    <t>x3</t>
  </si>
  <si>
    <t>wst1</t>
  </si>
  <si>
    <t>Top Slot opening width</t>
  </si>
  <si>
    <t>slot depth</t>
  </si>
  <si>
    <t>Slot depth = 3-6*slot width</t>
  </si>
  <si>
    <t>Wst</t>
  </si>
  <si>
    <t>No. of Coils = Stator Slots/2*No. of phases</t>
  </si>
  <si>
    <t>V peak</t>
  </si>
  <si>
    <t>V line</t>
  </si>
  <si>
    <t xml:space="preserve">V line </t>
  </si>
  <si>
    <t>V rms</t>
  </si>
  <si>
    <t>V phase</t>
  </si>
  <si>
    <t>Modulation factor</t>
  </si>
  <si>
    <t>Phase current rms</t>
  </si>
  <si>
    <t>mag_thik</t>
  </si>
  <si>
    <t>mag_length</t>
  </si>
  <si>
    <t>mag area</t>
  </si>
  <si>
    <t>Phi_magnet</t>
  </si>
  <si>
    <t>lambda</t>
  </si>
  <si>
    <t>tooth width</t>
  </si>
  <si>
    <t>B_tooth</t>
  </si>
  <si>
    <t>Bt</t>
  </si>
  <si>
    <t>mEI</t>
  </si>
  <si>
    <t>w</t>
  </si>
  <si>
    <t>Slot depth(d)</t>
  </si>
  <si>
    <t>Slot width(w)</t>
  </si>
  <si>
    <t>tooth pitch = slot pitch=Pi()*D/Ns</t>
  </si>
  <si>
    <t>A_slot</t>
  </si>
  <si>
    <t>Slot Fill Area ( Fslot)</t>
  </si>
  <si>
    <t>J</t>
  </si>
  <si>
    <t>Calculated Value</t>
  </si>
  <si>
    <t>No. of turns per phase = V_ph/(4.44*f*Phi_magnet*Kw)</t>
  </si>
  <si>
    <t>I_ph</t>
  </si>
  <si>
    <t>A/mm</t>
  </si>
  <si>
    <t>rms</t>
  </si>
  <si>
    <t>Z</t>
  </si>
  <si>
    <t>is 1 for conc. Wdg and &lt;1 for distributed so &lt; max. EMF for distrb. wdg</t>
  </si>
  <si>
    <t>Stator OD</t>
  </si>
  <si>
    <t>length</t>
  </si>
  <si>
    <t>Rotor OD</t>
  </si>
  <si>
    <t>mag_length ( stack length )</t>
  </si>
  <si>
    <t>Magnet Thickness</t>
  </si>
  <si>
    <t>m_thk</t>
  </si>
  <si>
    <t>Magnet Flux Density</t>
  </si>
  <si>
    <t>Area of one magnet = mag_width* stack length</t>
  </si>
  <si>
    <t>Flux of 2 magnets ( V type ) = 2*B*A</t>
  </si>
  <si>
    <t>Magnet Flux Linkage</t>
  </si>
  <si>
    <t>No. of turns calculation</t>
  </si>
  <si>
    <t>Same as calculated above</t>
  </si>
  <si>
    <t>Magnet No. per pole</t>
  </si>
  <si>
    <t xml:space="preserve">V_line rms = V dc / Sqrt(2)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</si>
</sst>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i/>
      <sz val="15"/>
      <name val="KaTeX_Math"/>
    </font>
    <font>
      <sz val="12"/>
      <color rgb="FF212529"/>
      <name val="Segoe UI"/>
      <family val="2"/>
    </font>
    <font>
      <sz val="12"/>
      <color rgb="FF212529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9" xfId="0" applyBorder="1"/>
    <xf numFmtId="0" fontId="0" fillId="0" borderId="12" xfId="0" applyBorder="1"/>
    <xf numFmtId="0" fontId="0" fillId="0" borderId="0" xfId="0" applyAlignment="1">
      <alignment horizontal="center"/>
    </xf>
    <xf numFmtId="0" fontId="0" fillId="0" borderId="18" xfId="0" applyBorder="1"/>
    <xf numFmtId="0" fontId="0" fillId="0" borderId="21" xfId="0" applyBorder="1"/>
    <xf numFmtId="0" fontId="0" fillId="0" borderId="24" xfId="0" applyBorder="1"/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0" borderId="23" xfId="0" applyBorder="1"/>
    <xf numFmtId="0" fontId="0" fillId="0" borderId="15" xfId="0" applyBorder="1"/>
    <xf numFmtId="0" fontId="0" fillId="2" borderId="15" xfId="0" applyFill="1" applyBorder="1"/>
    <xf numFmtId="0" fontId="0" fillId="0" borderId="1" xfId="0" applyBorder="1" applyAlignment="1">
      <alignment horizontal="left"/>
    </xf>
    <xf numFmtId="0" fontId="2" fillId="5" borderId="28" xfId="0" applyFont="1" applyFill="1" applyBorder="1" applyAlignment="1">
      <alignment vertical="center" wrapText="1"/>
    </xf>
    <xf numFmtId="0" fontId="2" fillId="6" borderId="28" xfId="0" applyFont="1" applyFill="1" applyBorder="1" applyAlignment="1">
      <alignment vertical="center" wrapText="1"/>
    </xf>
    <xf numFmtId="0" fontId="2" fillId="7" borderId="28" xfId="0" applyFont="1" applyFill="1" applyBorder="1" applyAlignment="1">
      <alignment vertical="center" wrapText="1"/>
    </xf>
    <xf numFmtId="0" fontId="2" fillId="8" borderId="28" xfId="0" applyFont="1" applyFill="1" applyBorder="1" applyAlignment="1">
      <alignment vertical="center" wrapText="1"/>
    </xf>
    <xf numFmtId="0" fontId="2" fillId="9" borderId="28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0" fillId="5" borderId="1" xfId="0" applyFill="1" applyBorder="1"/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17" fontId="0" fillId="0" borderId="1" xfId="0" applyNumberFormat="1" applyBorder="1"/>
    <xf numFmtId="0" fontId="0" fillId="10" borderId="1" xfId="0" applyFill="1" applyBorder="1"/>
    <xf numFmtId="0" fontId="0" fillId="11" borderId="1" xfId="0" applyFill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11" borderId="1" xfId="0" applyFill="1" applyBorder="1" applyAlignment="1">
      <alignment horizontal="left"/>
    </xf>
    <xf numFmtId="0" fontId="0" fillId="0" borderId="29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11" borderId="4" xfId="0" applyFill="1" applyBorder="1"/>
    <xf numFmtId="0" fontId="0" fillId="0" borderId="2" xfId="0" applyBorder="1" applyAlignment="1">
      <alignment wrapText="1"/>
    </xf>
    <xf numFmtId="17" fontId="0" fillId="0" borderId="2" xfId="0" applyNumberFormat="1" applyBorder="1"/>
    <xf numFmtId="0" fontId="0" fillId="0" borderId="2" xfId="0" applyBorder="1" applyAlignment="1">
      <alignment horizontal="center" wrapText="1"/>
    </xf>
    <xf numFmtId="0" fontId="0" fillId="10" borderId="3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0</xdr:row>
      <xdr:rowOff>47625</xdr:rowOff>
    </xdr:from>
    <xdr:to>
      <xdr:col>10</xdr:col>
      <xdr:colOff>248258</xdr:colOff>
      <xdr:row>28</xdr:row>
      <xdr:rowOff>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7950" y="47625"/>
          <a:ext cx="4353533" cy="5287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"/>
  <sheetViews>
    <sheetView zoomScale="92" zoomScaleNormal="100" workbookViewId="0">
      <selection activeCell="G49" sqref="G49"/>
    </sheetView>
  </sheetViews>
  <sheetFormatPr defaultRowHeight="14.4"/>
  <cols>
    <col min="1" max="1" width="19.6640625" customWidth="1"/>
    <col min="2" max="2" width="14.88671875" bestFit="1" customWidth="1"/>
    <col min="4" max="4" width="76.109375" customWidth="1"/>
    <col min="5" max="5" width="9.88671875" style="5" customWidth="1"/>
    <col min="6" max="6" width="13.109375" customWidth="1"/>
    <col min="7" max="7" width="12.44140625" customWidth="1"/>
    <col min="9" max="9" width="62.109375" customWidth="1"/>
    <col min="10" max="10" width="14.6640625" style="5" customWidth="1"/>
    <col min="11" max="11" width="10.33203125" bestFit="1" customWidth="1"/>
    <col min="12" max="12" width="23.44140625" customWidth="1"/>
    <col min="14" max="14" width="21.6640625" customWidth="1"/>
    <col min="16" max="16" width="15.109375" customWidth="1"/>
    <col min="17" max="17" width="14.6640625" customWidth="1"/>
    <col min="18" max="18" width="36.109375" customWidth="1"/>
  </cols>
  <sheetData>
    <row r="1" spans="1:18">
      <c r="A1" s="62" t="s">
        <v>4</v>
      </c>
      <c r="B1" s="62"/>
      <c r="C1" s="62"/>
      <c r="D1" s="62"/>
      <c r="E1" s="4"/>
      <c r="F1" s="62" t="s">
        <v>5</v>
      </c>
      <c r="G1" s="62"/>
      <c r="H1" s="62"/>
      <c r="I1" s="62"/>
      <c r="J1" s="4"/>
      <c r="K1" s="62" t="s">
        <v>141</v>
      </c>
      <c r="L1" s="62"/>
      <c r="M1" s="62"/>
      <c r="N1" s="62"/>
    </row>
    <row r="2" spans="1:18" ht="15" thickBot="1">
      <c r="A2" s="1" t="s">
        <v>0</v>
      </c>
      <c r="B2" s="1" t="s">
        <v>1</v>
      </c>
      <c r="C2" s="1" t="s">
        <v>2</v>
      </c>
      <c r="D2" s="2" t="s">
        <v>3</v>
      </c>
      <c r="F2" s="3" t="s">
        <v>0</v>
      </c>
      <c r="G2" s="1" t="s">
        <v>1</v>
      </c>
      <c r="H2" s="1" t="s">
        <v>2</v>
      </c>
      <c r="I2" s="2" t="s">
        <v>3</v>
      </c>
      <c r="K2" s="3" t="s">
        <v>0</v>
      </c>
      <c r="L2" s="1" t="s">
        <v>1</v>
      </c>
      <c r="M2" s="1" t="s">
        <v>2</v>
      </c>
      <c r="N2" s="1" t="s">
        <v>3</v>
      </c>
    </row>
    <row r="3" spans="1:18">
      <c r="A3" s="13" t="s">
        <v>6</v>
      </c>
      <c r="B3" s="13">
        <v>15000</v>
      </c>
      <c r="C3" s="13" t="s">
        <v>17</v>
      </c>
      <c r="D3" s="13" t="s">
        <v>7</v>
      </c>
      <c r="F3" s="13" t="s">
        <v>18</v>
      </c>
      <c r="G3" s="13">
        <f>(B4*PI()/30)*1.1</f>
        <v>274.96266101769066</v>
      </c>
      <c r="H3" s="13" t="s">
        <v>13</v>
      </c>
      <c r="I3" s="13" t="s">
        <v>15</v>
      </c>
      <c r="P3" s="59" t="s">
        <v>21</v>
      </c>
      <c r="Q3" s="60"/>
      <c r="R3" s="61"/>
    </row>
    <row r="4" spans="1:18" ht="15" thickBot="1">
      <c r="A4" s="13" t="s">
        <v>8</v>
      </c>
      <c r="B4" s="13">
        <v>2387</v>
      </c>
      <c r="C4" s="13" t="s">
        <v>9</v>
      </c>
      <c r="D4" s="13" t="s">
        <v>10</v>
      </c>
      <c r="F4" s="13"/>
      <c r="G4" s="13">
        <f>G3*30/PI()</f>
        <v>2625.7</v>
      </c>
      <c r="H4" s="13" t="s">
        <v>9</v>
      </c>
      <c r="I4" s="13" t="s">
        <v>15</v>
      </c>
      <c r="P4" s="63" t="s">
        <v>20</v>
      </c>
      <c r="Q4" s="64"/>
      <c r="R4" s="65"/>
    </row>
    <row r="5" spans="1:18" ht="15" thickBot="1">
      <c r="A5" s="13" t="s">
        <v>51</v>
      </c>
      <c r="B5" s="13" t="s">
        <v>54</v>
      </c>
      <c r="C5" s="13"/>
      <c r="D5" s="13" t="s">
        <v>52</v>
      </c>
      <c r="F5" s="13"/>
      <c r="G5" s="13">
        <f>B4/60</f>
        <v>39.783333333333331</v>
      </c>
      <c r="H5" s="13" t="s">
        <v>292</v>
      </c>
      <c r="I5" s="13" t="s">
        <v>289</v>
      </c>
      <c r="P5" s="8"/>
      <c r="Q5" s="8"/>
      <c r="R5" s="8"/>
    </row>
    <row r="6" spans="1:18">
      <c r="A6" s="13" t="s">
        <v>22</v>
      </c>
      <c r="B6" s="13">
        <v>6</v>
      </c>
      <c r="C6" s="13"/>
      <c r="D6" s="13" t="s">
        <v>23</v>
      </c>
      <c r="F6" s="13" t="s">
        <v>11</v>
      </c>
      <c r="G6" s="13">
        <f>G8*1.1</f>
        <v>60.008147793341351</v>
      </c>
      <c r="H6" s="13" t="s">
        <v>12</v>
      </c>
      <c r="I6" s="13" t="s">
        <v>14</v>
      </c>
      <c r="P6" s="60" t="s">
        <v>27</v>
      </c>
      <c r="Q6" s="60"/>
      <c r="R6" s="60"/>
    </row>
    <row r="7" spans="1:18" ht="15" thickBot="1">
      <c r="A7" s="13" t="s">
        <v>37</v>
      </c>
      <c r="B7" s="13">
        <v>6</v>
      </c>
      <c r="C7" s="13"/>
      <c r="D7" s="13" t="s">
        <v>31</v>
      </c>
      <c r="F7" s="13" t="s">
        <v>19</v>
      </c>
      <c r="G7" s="13">
        <f>G6*G3</f>
        <v>16500</v>
      </c>
      <c r="H7" s="13" t="s">
        <v>290</v>
      </c>
      <c r="I7" s="13" t="s">
        <v>291</v>
      </c>
    </row>
    <row r="8" spans="1:18">
      <c r="A8" s="13" t="s">
        <v>34</v>
      </c>
      <c r="B8" s="13">
        <v>3</v>
      </c>
      <c r="C8" s="13"/>
      <c r="D8" s="13" t="s">
        <v>35</v>
      </c>
      <c r="F8" s="13" t="s">
        <v>11</v>
      </c>
      <c r="G8" s="13">
        <f>B3/G3</f>
        <v>54.552861630310318</v>
      </c>
      <c r="H8" s="13" t="s">
        <v>12</v>
      </c>
      <c r="I8" s="13" t="s">
        <v>16</v>
      </c>
      <c r="P8" s="59" t="s">
        <v>28</v>
      </c>
      <c r="Q8" s="60"/>
      <c r="R8" s="61"/>
    </row>
    <row r="9" spans="1:18" ht="15" thickBot="1">
      <c r="A9" s="13"/>
      <c r="B9" s="13"/>
      <c r="C9" s="13"/>
      <c r="D9" s="13"/>
      <c r="F9" s="13"/>
      <c r="G9" s="13"/>
      <c r="H9" s="13"/>
      <c r="I9" s="13"/>
      <c r="P9" s="63" t="s">
        <v>29</v>
      </c>
      <c r="Q9" s="64"/>
      <c r="R9" s="65"/>
    </row>
    <row r="10" spans="1:18">
      <c r="A10" s="13"/>
      <c r="B10" s="13"/>
      <c r="C10" s="13"/>
      <c r="D10" s="13"/>
      <c r="F10" s="13"/>
      <c r="G10" s="13"/>
      <c r="H10" s="13"/>
      <c r="I10" s="13"/>
      <c r="P10" s="7" t="s">
        <v>30</v>
      </c>
      <c r="Q10" s="60" t="s">
        <v>31</v>
      </c>
      <c r="R10" s="61"/>
    </row>
    <row r="11" spans="1:18">
      <c r="A11" s="13" t="s">
        <v>70</v>
      </c>
      <c r="B11" s="13">
        <v>60</v>
      </c>
      <c r="C11" s="13" t="s">
        <v>40</v>
      </c>
      <c r="D11" s="13" t="s">
        <v>38</v>
      </c>
      <c r="F11" s="13" t="s">
        <v>24</v>
      </c>
      <c r="G11" s="13">
        <v>50</v>
      </c>
      <c r="H11" s="13" t="s">
        <v>26</v>
      </c>
      <c r="I11" s="13" t="s">
        <v>25</v>
      </c>
      <c r="P11" s="7" t="s">
        <v>32</v>
      </c>
      <c r="Q11" s="66" t="s">
        <v>33</v>
      </c>
      <c r="R11" s="67"/>
    </row>
    <row r="12" spans="1:18">
      <c r="A12" s="13" t="s">
        <v>39</v>
      </c>
      <c r="B12" s="13">
        <v>4</v>
      </c>
      <c r="C12" s="13" t="s">
        <v>40</v>
      </c>
      <c r="D12" s="13"/>
      <c r="F12" s="13" t="s">
        <v>32</v>
      </c>
      <c r="G12" s="13">
        <f>B7*B6</f>
        <v>36</v>
      </c>
      <c r="H12" s="13"/>
      <c r="I12" s="13" t="s">
        <v>33</v>
      </c>
      <c r="P12" s="7" t="s">
        <v>34</v>
      </c>
      <c r="Q12" s="66" t="s">
        <v>35</v>
      </c>
      <c r="R12" s="67"/>
    </row>
    <row r="13" spans="1:18" ht="15" thickBot="1">
      <c r="A13" s="13" t="s">
        <v>61</v>
      </c>
      <c r="B13" s="13">
        <v>0.9</v>
      </c>
      <c r="C13" s="13"/>
      <c r="D13" s="13" t="s">
        <v>41</v>
      </c>
      <c r="F13" s="13"/>
      <c r="G13" s="13"/>
      <c r="H13" s="13"/>
      <c r="I13" s="13"/>
      <c r="P13" s="6" t="s">
        <v>22</v>
      </c>
      <c r="Q13" s="64" t="s">
        <v>36</v>
      </c>
      <c r="R13" s="65"/>
    </row>
    <row r="14" spans="1:18" ht="15" thickBot="1">
      <c r="A14" s="13"/>
      <c r="B14" s="13"/>
      <c r="C14" s="13"/>
      <c r="D14" s="13"/>
      <c r="F14" s="13" t="s">
        <v>58</v>
      </c>
      <c r="G14" s="13">
        <f>G20*SQRT(3)</f>
        <v>103.92304845413263</v>
      </c>
      <c r="H14" s="13" t="s">
        <v>40</v>
      </c>
      <c r="I14" s="13" t="s">
        <v>59</v>
      </c>
    </row>
    <row r="15" spans="1:18">
      <c r="A15" s="13" t="s">
        <v>115</v>
      </c>
      <c r="B15" s="13">
        <v>0.7</v>
      </c>
      <c r="C15" s="13" t="s">
        <v>113</v>
      </c>
      <c r="D15" s="13" t="s">
        <v>116</v>
      </c>
      <c r="F15" s="13" t="s">
        <v>45</v>
      </c>
      <c r="G15" s="13">
        <f>G7/(B18*COS(B19))</f>
        <v>326.04553209307062</v>
      </c>
      <c r="H15" s="13" t="s">
        <v>49</v>
      </c>
      <c r="I15" s="13" t="s">
        <v>47</v>
      </c>
      <c r="P15" s="59" t="s">
        <v>42</v>
      </c>
      <c r="Q15" s="60"/>
      <c r="R15" s="61"/>
    </row>
    <row r="16" spans="1:18" ht="19.8" thickBot="1">
      <c r="A16" s="13"/>
      <c r="B16" s="13"/>
      <c r="C16" s="13"/>
      <c r="D16" s="13"/>
      <c r="F16" s="13" t="s">
        <v>48</v>
      </c>
      <c r="G16" s="13">
        <f>G7/(SQRT(3)*B19*G14)</f>
        <v>96.491228070175453</v>
      </c>
      <c r="H16" s="13" t="s">
        <v>50</v>
      </c>
      <c r="I16" s="13" t="s">
        <v>255</v>
      </c>
      <c r="P16" s="56" t="s">
        <v>78</v>
      </c>
      <c r="Q16" s="57"/>
      <c r="R16" s="58"/>
    </row>
    <row r="17" spans="1:18" ht="15" thickBot="1">
      <c r="A17" s="13"/>
      <c r="B17" s="13"/>
      <c r="C17" s="13"/>
      <c r="D17" s="13"/>
      <c r="F17" s="13"/>
      <c r="G17" s="13"/>
      <c r="H17" s="13"/>
      <c r="I17" s="13"/>
    </row>
    <row r="18" spans="1:18">
      <c r="A18" s="13" t="s">
        <v>43</v>
      </c>
      <c r="B18" s="13">
        <v>87</v>
      </c>
      <c r="C18" s="13" t="s">
        <v>44</v>
      </c>
      <c r="D18" s="13"/>
      <c r="F18" s="13"/>
      <c r="G18" s="13"/>
      <c r="H18" s="13"/>
      <c r="I18" s="13"/>
      <c r="P18" s="71" t="s">
        <v>79</v>
      </c>
      <c r="Q18" s="72"/>
      <c r="R18" s="73"/>
    </row>
    <row r="19" spans="1:18" ht="15" thickBot="1">
      <c r="A19" s="13" t="s">
        <v>46</v>
      </c>
      <c r="B19" s="13">
        <v>0.95</v>
      </c>
      <c r="C19" s="13"/>
      <c r="D19" s="13"/>
      <c r="F19" s="13" t="s">
        <v>63</v>
      </c>
      <c r="G19" s="13">
        <f>G20*B21/G27</f>
        <v>1.1111111111111112</v>
      </c>
      <c r="H19" s="13" t="s">
        <v>40</v>
      </c>
      <c r="I19" s="13" t="s">
        <v>65</v>
      </c>
      <c r="P19" s="74" t="s">
        <v>71</v>
      </c>
      <c r="Q19" s="75"/>
      <c r="R19" s="76"/>
    </row>
    <row r="20" spans="1:18">
      <c r="A20" s="13"/>
      <c r="B20" s="13"/>
      <c r="C20" s="13"/>
      <c r="D20" s="13"/>
      <c r="F20" s="13" t="s">
        <v>56</v>
      </c>
      <c r="G20" s="13">
        <f>IF(B5="Star",B11,B11/SQRT(2))</f>
        <v>60</v>
      </c>
      <c r="H20" s="13" t="s">
        <v>40</v>
      </c>
      <c r="I20" s="13" t="s">
        <v>57</v>
      </c>
      <c r="P20" s="77" t="s">
        <v>72</v>
      </c>
      <c r="Q20" s="78"/>
      <c r="R20" s="11" t="s">
        <v>73</v>
      </c>
    </row>
    <row r="21" spans="1:18">
      <c r="A21" s="13" t="s">
        <v>69</v>
      </c>
      <c r="B21" s="13">
        <v>1</v>
      </c>
      <c r="C21" s="13"/>
      <c r="D21" s="13" t="s">
        <v>60</v>
      </c>
      <c r="F21" s="13"/>
      <c r="G21" s="13"/>
      <c r="H21" s="13"/>
      <c r="I21" s="13"/>
      <c r="P21" s="79" t="s">
        <v>74</v>
      </c>
      <c r="Q21" s="80"/>
      <c r="R21" s="9" t="s">
        <v>75</v>
      </c>
    </row>
    <row r="22" spans="1:18" ht="15" thickBot="1">
      <c r="A22" s="13"/>
      <c r="B22" s="13"/>
      <c r="C22" s="13"/>
      <c r="D22" s="13"/>
      <c r="F22" s="13"/>
      <c r="G22" s="13"/>
      <c r="H22" s="13"/>
      <c r="I22" s="13"/>
      <c r="P22" s="74" t="s">
        <v>76</v>
      </c>
      <c r="Q22" s="75"/>
      <c r="R22" s="10" t="s">
        <v>77</v>
      </c>
    </row>
    <row r="23" spans="1:18" ht="15" thickBot="1">
      <c r="A23" s="13" t="s">
        <v>87</v>
      </c>
      <c r="B23" s="13">
        <v>0.96599999999999997</v>
      </c>
      <c r="C23" s="13"/>
      <c r="D23" s="13" t="s">
        <v>88</v>
      </c>
      <c r="F23" s="13" t="s">
        <v>53</v>
      </c>
      <c r="G23" s="13">
        <f>IF(B5="Star",G16,G16/SQRT(3))</f>
        <v>96.491228070175453</v>
      </c>
      <c r="H23" s="13" t="s">
        <v>50</v>
      </c>
      <c r="I23" s="13" t="s">
        <v>55</v>
      </c>
    </row>
    <row r="24" spans="1:18" ht="15" thickBot="1">
      <c r="A24" s="13" t="s">
        <v>123</v>
      </c>
      <c r="B24" s="13">
        <v>0.95</v>
      </c>
      <c r="C24" s="13"/>
      <c r="D24" s="13" t="s">
        <v>124</v>
      </c>
      <c r="F24" s="13" t="s">
        <v>62</v>
      </c>
      <c r="G24" s="13">
        <f>G23/B21</f>
        <v>96.491228070175453</v>
      </c>
      <c r="H24" s="13" t="s">
        <v>50</v>
      </c>
      <c r="I24" s="13" t="s">
        <v>64</v>
      </c>
      <c r="P24" s="68" t="s">
        <v>86</v>
      </c>
      <c r="Q24" s="69"/>
      <c r="R24" s="70"/>
    </row>
    <row r="25" spans="1:18">
      <c r="A25" s="13" t="s">
        <v>147</v>
      </c>
      <c r="B25" s="13">
        <v>0.4</v>
      </c>
      <c r="C25" s="13"/>
      <c r="D25" s="13" t="s">
        <v>148</v>
      </c>
      <c r="F25" s="13"/>
      <c r="G25" s="13"/>
      <c r="H25" s="13"/>
      <c r="I25" s="13"/>
    </row>
    <row r="26" spans="1:18">
      <c r="A26" s="13" t="s">
        <v>164</v>
      </c>
      <c r="B26" s="13">
        <v>0.9</v>
      </c>
      <c r="C26" s="13" t="s">
        <v>125</v>
      </c>
      <c r="D26" s="13" t="s">
        <v>165</v>
      </c>
      <c r="F26" s="13"/>
      <c r="G26" s="13"/>
      <c r="H26" s="13"/>
      <c r="I26" s="13"/>
    </row>
    <row r="27" spans="1:18">
      <c r="A27" s="13" t="s">
        <v>166</v>
      </c>
      <c r="B27" s="13">
        <v>1.1499999999999999</v>
      </c>
      <c r="C27" s="13"/>
      <c r="D27" s="13" t="s">
        <v>167</v>
      </c>
      <c r="F27" s="13" t="s">
        <v>67</v>
      </c>
      <c r="G27" s="13">
        <f>G29/2*B8</f>
        <v>54</v>
      </c>
      <c r="H27" s="13"/>
      <c r="I27" s="13" t="s">
        <v>68</v>
      </c>
    </row>
    <row r="28" spans="1:18">
      <c r="A28" s="13"/>
      <c r="B28" s="13"/>
      <c r="C28" s="13"/>
      <c r="D28" s="13"/>
      <c r="F28" s="13"/>
      <c r="G28" s="13"/>
      <c r="H28" s="13"/>
      <c r="I28" s="13"/>
    </row>
    <row r="29" spans="1:18">
      <c r="A29" s="13"/>
      <c r="B29" s="13"/>
      <c r="C29" s="13"/>
      <c r="D29" s="13"/>
      <c r="F29" s="13" t="s">
        <v>32</v>
      </c>
      <c r="G29" s="13">
        <f>B7*B6</f>
        <v>36</v>
      </c>
      <c r="H29" s="13"/>
      <c r="I29" s="13" t="s">
        <v>66</v>
      </c>
    </row>
    <row r="30" spans="1:18">
      <c r="A30" s="13" t="s">
        <v>89</v>
      </c>
      <c r="B30" s="13">
        <v>0.9</v>
      </c>
      <c r="C30" s="13" t="s">
        <v>91</v>
      </c>
      <c r="D30" s="14" t="s">
        <v>92</v>
      </c>
      <c r="F30" s="13"/>
      <c r="G30" s="13"/>
      <c r="H30" s="13"/>
      <c r="I30" s="13"/>
    </row>
    <row r="31" spans="1:18">
      <c r="A31" s="13" t="s">
        <v>90</v>
      </c>
      <c r="B31" s="13">
        <v>40</v>
      </c>
      <c r="C31" s="13" t="s">
        <v>94</v>
      </c>
      <c r="D31" s="15" t="s">
        <v>93</v>
      </c>
      <c r="F31" s="13" t="s">
        <v>72</v>
      </c>
      <c r="G31" s="13">
        <f>1.11*(PI()^2)*B23*B30*B31</f>
        <v>380.98015254403469</v>
      </c>
      <c r="H31" s="13" t="s">
        <v>95</v>
      </c>
      <c r="I31" s="13" t="s">
        <v>96</v>
      </c>
    </row>
    <row r="32" spans="1:18">
      <c r="A32" s="13"/>
      <c r="B32" s="13"/>
      <c r="C32" s="13"/>
      <c r="D32" s="13"/>
      <c r="F32" s="13" t="s">
        <v>105</v>
      </c>
      <c r="G32" s="13">
        <f>G7/(1000*G31*G5)</f>
        <v>1.0886303158032999E-3</v>
      </c>
      <c r="H32" s="13" t="s">
        <v>243</v>
      </c>
      <c r="I32" s="13" t="s">
        <v>106</v>
      </c>
    </row>
    <row r="33" spans="1:12">
      <c r="A33" s="13" t="s">
        <v>97</v>
      </c>
      <c r="B33" s="13">
        <v>1.2</v>
      </c>
      <c r="C33" s="13"/>
      <c r="D33" s="15" t="s">
        <v>98</v>
      </c>
      <c r="F33" s="16" t="s">
        <v>101</v>
      </c>
      <c r="G33" s="16">
        <f>((B6*G32/(PI()*B33))^(1/3))*1000</f>
        <v>120.10659416557634</v>
      </c>
      <c r="H33" s="16" t="s">
        <v>113</v>
      </c>
      <c r="I33" s="16" t="s">
        <v>102</v>
      </c>
    </row>
    <row r="34" spans="1:12">
      <c r="A34" s="13" t="s">
        <v>112</v>
      </c>
      <c r="B34" s="13">
        <v>2</v>
      </c>
      <c r="C34" s="13" t="s">
        <v>113</v>
      </c>
      <c r="D34" s="13" t="s">
        <v>114</v>
      </c>
      <c r="F34" s="13"/>
      <c r="G34" s="13"/>
      <c r="H34" s="13"/>
      <c r="I34" s="13"/>
    </row>
    <row r="35" spans="1:12" ht="28.8">
      <c r="A35" s="13" t="s">
        <v>117</v>
      </c>
      <c r="B35" s="13">
        <v>1.5</v>
      </c>
      <c r="C35" s="13" t="s">
        <v>113</v>
      </c>
      <c r="D35" s="15" t="s">
        <v>118</v>
      </c>
      <c r="F35" s="13" t="s">
        <v>100</v>
      </c>
      <c r="G35" s="13">
        <f>(PI()*G33)/B6</f>
        <v>62.887665646377549</v>
      </c>
      <c r="H35" s="13" t="s">
        <v>288</v>
      </c>
      <c r="I35" s="13" t="s">
        <v>99</v>
      </c>
    </row>
    <row r="36" spans="1:12">
      <c r="A36" s="13" t="s">
        <v>119</v>
      </c>
      <c r="B36" s="13">
        <v>1</v>
      </c>
      <c r="C36" s="13" t="s">
        <v>113</v>
      </c>
      <c r="D36" s="13" t="s">
        <v>120</v>
      </c>
      <c r="F36" s="16" t="s">
        <v>163</v>
      </c>
      <c r="G36" s="16">
        <f>(B33*G35)</f>
        <v>75.46519877565305</v>
      </c>
      <c r="H36" s="16" t="s">
        <v>104</v>
      </c>
      <c r="I36" s="16" t="s">
        <v>103</v>
      </c>
      <c r="L36">
        <f>G33+2*(16+22)</f>
        <v>196.10659416557633</v>
      </c>
    </row>
    <row r="37" spans="1:12">
      <c r="A37" s="13"/>
      <c r="B37" s="13"/>
      <c r="C37" s="13"/>
      <c r="D37" s="13"/>
      <c r="F37" s="13"/>
      <c r="G37" s="13"/>
      <c r="H37" s="13"/>
      <c r="I37" s="13"/>
    </row>
    <row r="38" spans="1:12">
      <c r="A38" s="13" t="s">
        <v>121</v>
      </c>
      <c r="B38" s="13">
        <v>1.3</v>
      </c>
      <c r="C38" s="13" t="s">
        <v>91</v>
      </c>
      <c r="D38" s="13" t="s">
        <v>122</v>
      </c>
      <c r="F38" s="13" t="s">
        <v>109</v>
      </c>
      <c r="G38" s="13">
        <f>B30*3.14*G33*G36/1000</f>
        <v>25.614490976398617</v>
      </c>
      <c r="H38" s="13" t="s">
        <v>108</v>
      </c>
      <c r="I38" s="13" t="s">
        <v>107</v>
      </c>
    </row>
    <row r="39" spans="1:12">
      <c r="A39" s="13" t="s">
        <v>129</v>
      </c>
      <c r="B39" s="13">
        <v>1.2</v>
      </c>
      <c r="C39" s="13" t="s">
        <v>91</v>
      </c>
      <c r="D39" s="13" t="s">
        <v>130</v>
      </c>
      <c r="F39" s="13" t="s">
        <v>110</v>
      </c>
      <c r="G39" s="13">
        <f>G38/B6</f>
        <v>4.2690818293997692</v>
      </c>
      <c r="H39" s="13" t="s">
        <v>108</v>
      </c>
      <c r="I39" s="13" t="s">
        <v>111</v>
      </c>
    </row>
    <row r="40" spans="1:12">
      <c r="A40" s="13"/>
      <c r="B40" s="13"/>
      <c r="C40" s="13"/>
      <c r="D40" s="13"/>
      <c r="F40" s="13" t="s">
        <v>126</v>
      </c>
      <c r="G40" s="13">
        <f>(G39/2)*(SIN(PI()*B6/G12))</f>
        <v>1.0672704573499421</v>
      </c>
      <c r="H40" s="13" t="s">
        <v>108</v>
      </c>
      <c r="I40" s="13" t="s">
        <v>125</v>
      </c>
    </row>
    <row r="41" spans="1:12">
      <c r="A41" s="13" t="s">
        <v>133</v>
      </c>
      <c r="B41" s="13">
        <v>0.97</v>
      </c>
      <c r="C41" s="13"/>
      <c r="D41" s="13" t="s">
        <v>136</v>
      </c>
      <c r="F41" s="13"/>
      <c r="G41" s="13"/>
      <c r="H41" s="13"/>
      <c r="I41" s="13"/>
    </row>
    <row r="42" spans="1:12">
      <c r="A42" s="13"/>
      <c r="B42" s="13"/>
      <c r="C42" s="13"/>
      <c r="D42" s="13"/>
      <c r="F42" s="13" t="s">
        <v>298</v>
      </c>
      <c r="G42" s="13">
        <f>G40*1000/(B38*B24*G36)</f>
        <v>11.451458674491183</v>
      </c>
      <c r="H42" s="13" t="s">
        <v>113</v>
      </c>
      <c r="I42" s="13" t="s">
        <v>127</v>
      </c>
      <c r="J42" s="5" t="s">
        <v>125</v>
      </c>
    </row>
    <row r="43" spans="1:12">
      <c r="A43" s="13" t="s">
        <v>150</v>
      </c>
      <c r="B43" s="13">
        <v>4.5999999999999996</v>
      </c>
      <c r="C43" s="13" t="s">
        <v>151</v>
      </c>
      <c r="D43" s="13" t="s">
        <v>153</v>
      </c>
      <c r="F43" s="13" t="s">
        <v>128</v>
      </c>
      <c r="G43" s="13">
        <f>2*(TAN(PI()/G12)*(G33/2+B35+B36)-(G42/2)/COS(PI()/G12))</f>
        <v>-0.54979266443566033</v>
      </c>
      <c r="H43" s="13" t="s">
        <v>113</v>
      </c>
      <c r="I43" s="13" t="s">
        <v>299</v>
      </c>
    </row>
    <row r="44" spans="1:12">
      <c r="A44" s="13"/>
      <c r="B44" s="13"/>
      <c r="C44" s="13"/>
      <c r="D44" s="13"/>
      <c r="F44" s="13" t="s">
        <v>131</v>
      </c>
      <c r="G44" s="13">
        <f>G39*1000/(2*B39*G36*B24)</f>
        <v>24.811493794730904</v>
      </c>
      <c r="H44" s="13" t="s">
        <v>113</v>
      </c>
      <c r="I44" s="13" t="s">
        <v>132</v>
      </c>
      <c r="K44" s="41" t="s">
        <v>300</v>
      </c>
      <c r="L44">
        <f>6*G43</f>
        <v>-3.298755986613962</v>
      </c>
    </row>
    <row r="45" spans="1:12">
      <c r="A45" s="13" t="s">
        <v>168</v>
      </c>
      <c r="B45" s="13">
        <v>1.3</v>
      </c>
      <c r="C45" s="13" t="s">
        <v>169</v>
      </c>
      <c r="D45" s="13" t="s">
        <v>170</v>
      </c>
      <c r="F45" s="13"/>
      <c r="H45" s="13"/>
      <c r="I45" s="13"/>
    </row>
    <row r="46" spans="1:12">
      <c r="A46" s="13" t="s">
        <v>171</v>
      </c>
      <c r="B46" s="13">
        <v>-1005.3</v>
      </c>
      <c r="C46" s="13" t="s">
        <v>94</v>
      </c>
      <c r="D46" s="15" t="s">
        <v>178</v>
      </c>
      <c r="F46" s="13" t="s">
        <v>134</v>
      </c>
      <c r="G46" s="13">
        <f>B41*G20</f>
        <v>58.199999999999996</v>
      </c>
      <c r="H46" s="13" t="s">
        <v>40</v>
      </c>
      <c r="I46" s="13" t="s">
        <v>135</v>
      </c>
    </row>
    <row r="47" spans="1:12">
      <c r="A47" s="13" t="s">
        <v>172</v>
      </c>
      <c r="B47" s="13">
        <v>-200</v>
      </c>
      <c r="C47" s="13" t="s">
        <v>94</v>
      </c>
      <c r="D47" s="13" t="s">
        <v>173</v>
      </c>
      <c r="F47" s="13"/>
      <c r="H47" s="13"/>
      <c r="I47" s="13"/>
    </row>
    <row r="48" spans="1:12">
      <c r="A48" s="13"/>
      <c r="B48" s="13"/>
      <c r="C48" s="13"/>
      <c r="D48" s="55" t="s">
        <v>177</v>
      </c>
      <c r="F48" s="13" t="s">
        <v>137</v>
      </c>
      <c r="G48" s="13">
        <f>G46*1000/(4.44*G11*B23*G39)</f>
        <v>63.570906501537259</v>
      </c>
      <c r="H48" s="13"/>
      <c r="I48" s="13" t="s">
        <v>139</v>
      </c>
    </row>
    <row r="49" spans="1:12">
      <c r="A49" s="13"/>
      <c r="B49" s="13"/>
      <c r="C49" s="13"/>
      <c r="D49" s="55"/>
      <c r="F49" s="13" t="s">
        <v>138</v>
      </c>
      <c r="G49" s="13">
        <f>(G48*B8*B21)/(G12)</f>
        <v>5.2975755417947719</v>
      </c>
      <c r="H49" s="13"/>
      <c r="I49" s="13" t="s">
        <v>140</v>
      </c>
    </row>
    <row r="50" spans="1:12">
      <c r="F50" s="13"/>
      <c r="H50" s="13"/>
      <c r="I50" s="13"/>
    </row>
    <row r="51" spans="1:12">
      <c r="F51" s="13" t="s">
        <v>143</v>
      </c>
      <c r="G51" s="13">
        <f>G49*G53</f>
        <v>111.12381952658752</v>
      </c>
      <c r="H51" s="13" t="s">
        <v>146</v>
      </c>
      <c r="I51" s="13" t="s">
        <v>144</v>
      </c>
    </row>
    <row r="52" spans="1:12">
      <c r="F52" s="13" t="s">
        <v>142</v>
      </c>
      <c r="G52" s="13">
        <f>G51/B25</f>
        <v>277.8095488164688</v>
      </c>
      <c r="H52" s="13" t="s">
        <v>146</v>
      </c>
      <c r="I52" s="13" t="s">
        <v>145</v>
      </c>
    </row>
    <row r="53" spans="1:12">
      <c r="F53" s="13" t="s">
        <v>149</v>
      </c>
      <c r="G53" s="13">
        <f>G24/B43</f>
        <v>20.976353928299012</v>
      </c>
      <c r="H53" s="13" t="s">
        <v>146</v>
      </c>
      <c r="I53" s="13" t="s">
        <v>152</v>
      </c>
    </row>
    <row r="54" spans="1:12">
      <c r="F54" s="13"/>
      <c r="G54" s="13"/>
      <c r="H54" s="13"/>
      <c r="I54" s="13"/>
    </row>
    <row r="55" spans="1:12">
      <c r="F55" s="13" t="s">
        <v>157</v>
      </c>
      <c r="G55" s="13">
        <f>L58</f>
        <v>-0.54979266443566033</v>
      </c>
      <c r="H55" s="13"/>
      <c r="I55" s="54" t="s">
        <v>162</v>
      </c>
      <c r="K55" t="s">
        <v>295</v>
      </c>
      <c r="L55">
        <f>TAN(PI()/G12)</f>
        <v>8.7488663525924007E-2</v>
      </c>
    </row>
    <row r="56" spans="1:12">
      <c r="F56" s="13" t="s">
        <v>158</v>
      </c>
      <c r="G56" s="13">
        <f>SQRT(G55*G55-4*2*TAN(PI()/G29)*-4*G52)</f>
        <v>27.893874389837581</v>
      </c>
      <c r="H56" s="13"/>
      <c r="I56" s="54"/>
      <c r="K56" t="s">
        <v>296</v>
      </c>
      <c r="L56">
        <f>(G33/2)+B35+B36</f>
        <v>62.55329708278817</v>
      </c>
    </row>
    <row r="57" spans="1:12">
      <c r="F57" s="13" t="s">
        <v>155</v>
      </c>
      <c r="G57" s="13">
        <f>(-G55+G56)/(2*2*TAN(PI()/G29))</f>
        <v>81.278150528168197</v>
      </c>
      <c r="H57" s="13"/>
      <c r="I57" s="54"/>
      <c r="K57" t="s">
        <v>297</v>
      </c>
      <c r="L57">
        <f>(G42/2)/(COS(PI()/G12))</f>
        <v>5.7476006931310479</v>
      </c>
    </row>
    <row r="58" spans="1:12">
      <c r="F58" s="13" t="s">
        <v>156</v>
      </c>
      <c r="G58" s="13">
        <f>(-G56-G57)/(2*2*TAN(PI()/G29))</f>
        <v>-311.96048870279265</v>
      </c>
      <c r="H58" s="13"/>
      <c r="I58" s="54"/>
      <c r="K58" t="s">
        <v>157</v>
      </c>
      <c r="L58">
        <f>2*((L55*L56)-L57)</f>
        <v>-0.54979266443566033</v>
      </c>
    </row>
    <row r="59" spans="1:12">
      <c r="F59" s="13"/>
      <c r="G59" s="13"/>
      <c r="H59" s="13"/>
      <c r="I59" s="13"/>
    </row>
    <row r="60" spans="1:12">
      <c r="F60" s="13" t="s">
        <v>154</v>
      </c>
      <c r="G60" s="13">
        <f>MAX(G57,G58)</f>
        <v>81.278150528168197</v>
      </c>
      <c r="H60" s="13" t="s">
        <v>113</v>
      </c>
      <c r="I60" s="13" t="s">
        <v>120</v>
      </c>
    </row>
    <row r="61" spans="1:12">
      <c r="F61" s="13" t="s">
        <v>159</v>
      </c>
      <c r="G61" s="13">
        <f>(4*G52)/(G60-G43)</f>
        <v>13.580179971654429</v>
      </c>
      <c r="H61" s="13" t="s">
        <v>113</v>
      </c>
      <c r="I61" s="13" t="s">
        <v>160</v>
      </c>
    </row>
    <row r="62" spans="1:12">
      <c r="F62" s="13"/>
      <c r="G62" s="13"/>
      <c r="H62" s="13"/>
      <c r="I62" s="13"/>
    </row>
    <row r="63" spans="1:12">
      <c r="F63" s="13" t="s">
        <v>161</v>
      </c>
      <c r="G63" s="13">
        <f>(TAN(PI()/G29)*(G33/2+B35+B36+G60)-(G42/2*COS(PI()/G29)))/(SIN((PI()/2)-(PI()/G29))+TAN(PI()/G29)*(1+COS((PI()/2)-(PI()/G29))))</f>
        <v>6.3040651743007121</v>
      </c>
      <c r="H63" s="13" t="s">
        <v>113</v>
      </c>
      <c r="I63" s="13"/>
    </row>
    <row r="64" spans="1:12">
      <c r="F64" s="13"/>
      <c r="G64" s="13"/>
      <c r="H64" s="13"/>
      <c r="I64" s="13"/>
    </row>
    <row r="65" spans="6:9">
      <c r="F65" s="13" t="s">
        <v>196</v>
      </c>
      <c r="G65" s="13">
        <v>0.74819223800000001</v>
      </c>
      <c r="H65" s="13" t="s">
        <v>169</v>
      </c>
      <c r="I65" s="13" t="s">
        <v>197</v>
      </c>
    </row>
    <row r="66" spans="6:9">
      <c r="F66" s="13" t="s">
        <v>192</v>
      </c>
      <c r="G66" s="13">
        <v>595392.47</v>
      </c>
      <c r="H66" s="13" t="s">
        <v>194</v>
      </c>
      <c r="I66" s="13" t="s">
        <v>193</v>
      </c>
    </row>
    <row r="67" spans="6:9">
      <c r="F67" s="13" t="s">
        <v>175</v>
      </c>
      <c r="G67" s="13">
        <f>B45/(B46*1000)</f>
        <v>-1.2931463244802546E-6</v>
      </c>
      <c r="H67" s="13" t="s">
        <v>195</v>
      </c>
      <c r="I67" s="13" t="s">
        <v>176</v>
      </c>
    </row>
    <row r="68" spans="6:9">
      <c r="F68" s="13"/>
      <c r="G68" s="13"/>
      <c r="H68" s="13"/>
      <c r="I68" s="13"/>
    </row>
    <row r="69" spans="6:9">
      <c r="F69" s="13" t="s">
        <v>174</v>
      </c>
      <c r="G69" s="13">
        <f>G67*B47*1000+B45</f>
        <v>1.5586292648960509</v>
      </c>
      <c r="H69" s="13" t="s">
        <v>91</v>
      </c>
      <c r="I69" s="13" t="s">
        <v>179</v>
      </c>
    </row>
    <row r="70" spans="6:9">
      <c r="F70" s="13"/>
      <c r="G70" s="13"/>
      <c r="H70" s="13"/>
      <c r="I70" s="13"/>
    </row>
    <row r="71" spans="6:9">
      <c r="F71" s="13" t="s">
        <v>189</v>
      </c>
      <c r="G71" s="13">
        <f>G42+G43</f>
        <v>10.901666010055523</v>
      </c>
      <c r="H71" s="13" t="s">
        <v>113</v>
      </c>
      <c r="I71" s="13" t="s">
        <v>190</v>
      </c>
    </row>
    <row r="72" spans="6:9" ht="28.8">
      <c r="F72" s="13" t="s">
        <v>185</v>
      </c>
      <c r="G72" s="13">
        <f>1/(1+5*B15/B34)</f>
        <v>0.36363636363636365</v>
      </c>
      <c r="H72" s="13"/>
      <c r="I72" s="15" t="s">
        <v>184</v>
      </c>
    </row>
    <row r="73" spans="6:9">
      <c r="F73" s="13" t="s">
        <v>293</v>
      </c>
      <c r="G73" s="13">
        <f>PI()*G35/G12</f>
        <v>5.4879841221130805</v>
      </c>
      <c r="H73" s="13" t="s">
        <v>113</v>
      </c>
      <c r="I73" s="13" t="s">
        <v>186</v>
      </c>
    </row>
    <row r="74" spans="6:9">
      <c r="F74" s="13" t="s">
        <v>187</v>
      </c>
      <c r="G74" s="13">
        <f>G71/(G71-G72*G43)</f>
        <v>0.98199135491686107</v>
      </c>
      <c r="H74" s="13"/>
      <c r="I74" s="13" t="s">
        <v>188</v>
      </c>
    </row>
    <row r="75" spans="6:9">
      <c r="F75" s="13" t="s">
        <v>191</v>
      </c>
      <c r="G75" s="13">
        <f>G74*B15</f>
        <v>0.68739394844180268</v>
      </c>
      <c r="H75" s="13" t="s">
        <v>113</v>
      </c>
      <c r="I75" s="13" t="s">
        <v>294</v>
      </c>
    </row>
    <row r="76" spans="6:9">
      <c r="F76" s="13"/>
      <c r="G76" s="13"/>
      <c r="H76" s="13"/>
      <c r="I76" s="13"/>
    </row>
    <row r="77" spans="6:9" ht="28.8">
      <c r="F77" s="13" t="s">
        <v>174</v>
      </c>
      <c r="G77" s="13">
        <f>G67*B47*1000+B45</f>
        <v>1.5586292648960509</v>
      </c>
      <c r="H77" s="13" t="s">
        <v>169</v>
      </c>
      <c r="I77" s="15" t="s">
        <v>198</v>
      </c>
    </row>
    <row r="78" spans="6:9">
      <c r="F78" s="13"/>
      <c r="G78" s="13"/>
      <c r="H78" s="13"/>
      <c r="I78" s="13"/>
    </row>
    <row r="79" spans="6:9">
      <c r="F79" s="12" t="s">
        <v>180</v>
      </c>
      <c r="G79" s="12">
        <f>-G66*G75*B27/(B47*1000)</f>
        <v>2.3532977897484506</v>
      </c>
      <c r="H79" s="12" t="s">
        <v>113</v>
      </c>
      <c r="I79" s="12" t="s">
        <v>183</v>
      </c>
    </row>
    <row r="80" spans="6:9">
      <c r="F80" s="12" t="s">
        <v>181</v>
      </c>
      <c r="G80" s="12">
        <f>B30*G35/(G77*B26)</f>
        <v>40.348059068794456</v>
      </c>
      <c r="H80" s="12" t="s">
        <v>113</v>
      </c>
      <c r="I80" s="12" t="s">
        <v>182</v>
      </c>
    </row>
  </sheetData>
  <mergeCells count="22">
    <mergeCell ref="P24:R24"/>
    <mergeCell ref="P18:R18"/>
    <mergeCell ref="P19:R19"/>
    <mergeCell ref="P20:Q20"/>
    <mergeCell ref="P21:Q21"/>
    <mergeCell ref="P22:Q22"/>
    <mergeCell ref="I55:I58"/>
    <mergeCell ref="D48:D49"/>
    <mergeCell ref="P16:R16"/>
    <mergeCell ref="P15:R15"/>
    <mergeCell ref="A1:D1"/>
    <mergeCell ref="F1:I1"/>
    <mergeCell ref="P3:R3"/>
    <mergeCell ref="P4:R4"/>
    <mergeCell ref="P6:R6"/>
    <mergeCell ref="P8:R8"/>
    <mergeCell ref="P9:R9"/>
    <mergeCell ref="Q10:R10"/>
    <mergeCell ref="Q11:R11"/>
    <mergeCell ref="Q12:R12"/>
    <mergeCell ref="Q13:R13"/>
    <mergeCell ref="K1:N1"/>
  </mergeCells>
  <dataValidations disablePrompts="1" count="1">
    <dataValidation type="list" allowBlank="1" showInputMessage="1" showErrorMessage="1" sqref="B5" xr:uid="{00000000-0002-0000-0000-000000000000}">
      <formula1>"Star, Delta"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="95" workbookViewId="0">
      <selection activeCell="C10" sqref="C10"/>
    </sheetView>
  </sheetViews>
  <sheetFormatPr defaultRowHeight="14.4"/>
  <cols>
    <col min="2" max="2" width="56.33203125" customWidth="1"/>
    <col min="3" max="3" width="29" customWidth="1"/>
  </cols>
  <sheetData>
    <row r="1" spans="1:3">
      <c r="A1" s="1" t="s">
        <v>80</v>
      </c>
      <c r="B1" s="1" t="s">
        <v>81</v>
      </c>
      <c r="C1" s="1" t="s">
        <v>82</v>
      </c>
    </row>
    <row r="2" spans="1:3">
      <c r="A2">
        <v>1</v>
      </c>
      <c r="B2" t="s">
        <v>83</v>
      </c>
    </row>
    <row r="3" spans="1:3">
      <c r="A3">
        <v>2</v>
      </c>
      <c r="B3" t="s">
        <v>84</v>
      </c>
    </row>
    <row r="4" spans="1:3">
      <c r="A4">
        <v>2.1</v>
      </c>
      <c r="B4" t="s">
        <v>85</v>
      </c>
    </row>
    <row r="5" spans="1:3">
      <c r="A5">
        <v>2.2000000000000002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7"/>
  <sheetViews>
    <sheetView workbookViewId="0">
      <selection activeCell="L8" sqref="L8"/>
    </sheetView>
  </sheetViews>
  <sheetFormatPr defaultRowHeight="14.4"/>
  <cols>
    <col min="2" max="2" width="40.109375" customWidth="1"/>
  </cols>
  <sheetData>
    <row r="1" spans="2:8">
      <c r="B1" s="81" t="s">
        <v>199</v>
      </c>
      <c r="C1" s="18" t="s">
        <v>206</v>
      </c>
      <c r="D1" s="18">
        <v>4</v>
      </c>
      <c r="E1" s="19">
        <v>6</v>
      </c>
      <c r="F1" s="18">
        <v>6</v>
      </c>
      <c r="G1" s="18">
        <v>8</v>
      </c>
      <c r="H1" s="18">
        <v>10</v>
      </c>
    </row>
    <row r="2" spans="2:8">
      <c r="B2" s="81"/>
      <c r="C2" s="13" t="s">
        <v>205</v>
      </c>
      <c r="D2" s="13">
        <v>24</v>
      </c>
      <c r="E2" s="1">
        <v>36</v>
      </c>
      <c r="F2" s="13">
        <v>27</v>
      </c>
      <c r="G2" s="13">
        <v>48</v>
      </c>
      <c r="H2" s="13">
        <v>12</v>
      </c>
    </row>
    <row r="3" spans="2:8">
      <c r="B3" s="17" t="s">
        <v>200</v>
      </c>
      <c r="C3" s="17"/>
      <c r="D3" s="17">
        <f>GCD(D1,D2)</f>
        <v>4</v>
      </c>
      <c r="E3" s="17">
        <f>GCD(E1,E2)</f>
        <v>6</v>
      </c>
      <c r="F3" s="17">
        <f>GCD(F1,F2)</f>
        <v>3</v>
      </c>
      <c r="G3" s="17">
        <f>GCD(G1,G2)</f>
        <v>8</v>
      </c>
      <c r="H3" s="17">
        <f>GCD(H1,H2)</f>
        <v>2</v>
      </c>
    </row>
    <row r="4" spans="2:8">
      <c r="B4" s="13" t="s">
        <v>201</v>
      </c>
      <c r="C4" s="13"/>
      <c r="D4" s="13">
        <f>LCM(D1,D2)</f>
        <v>24</v>
      </c>
      <c r="E4" s="13">
        <f>LCM(E1,E2)</f>
        <v>36</v>
      </c>
      <c r="F4" s="13">
        <f>LCM(F1,F2)</f>
        <v>54</v>
      </c>
      <c r="G4" s="13">
        <f t="shared" ref="G4:H4" si="0">LCM(G1,G2)</f>
        <v>48</v>
      </c>
      <c r="H4" s="13">
        <f t="shared" si="0"/>
        <v>60</v>
      </c>
    </row>
    <row r="5" spans="2:8">
      <c r="B5" s="13" t="s">
        <v>88</v>
      </c>
      <c r="C5" s="13"/>
      <c r="D5" s="13">
        <v>0.96599999999999997</v>
      </c>
      <c r="E5" s="13">
        <v>0.96599999999999997</v>
      </c>
      <c r="F5" s="13">
        <v>0.94499999999999995</v>
      </c>
      <c r="G5" s="13">
        <v>0.96599999999999997</v>
      </c>
      <c r="H5" s="13">
        <v>0.96599999999999997</v>
      </c>
    </row>
    <row r="6" spans="2:8">
      <c r="B6" s="13" t="s">
        <v>254</v>
      </c>
      <c r="C6" s="13"/>
      <c r="D6" s="13">
        <f>360/D4</f>
        <v>15</v>
      </c>
      <c r="E6" s="13">
        <f t="shared" ref="E6:H6" si="1">360/E4</f>
        <v>10</v>
      </c>
      <c r="F6" s="13">
        <f t="shared" si="1"/>
        <v>6.666666666666667</v>
      </c>
      <c r="G6" s="13">
        <f t="shared" si="1"/>
        <v>7.5</v>
      </c>
      <c r="H6" s="13">
        <f t="shared" si="1"/>
        <v>6</v>
      </c>
    </row>
    <row r="7" spans="2:8">
      <c r="B7" s="13"/>
      <c r="C7" s="13"/>
      <c r="D7" s="13"/>
      <c r="E7" s="13"/>
      <c r="F7" s="13"/>
      <c r="G7" s="13"/>
      <c r="H7" s="13"/>
    </row>
    <row r="8" spans="2:8">
      <c r="B8" s="13" t="s">
        <v>202</v>
      </c>
      <c r="C8" s="13"/>
      <c r="D8" s="13"/>
      <c r="E8" s="13"/>
      <c r="F8" s="13"/>
      <c r="G8" s="13"/>
      <c r="H8" s="13"/>
    </row>
    <row r="9" spans="2:8">
      <c r="B9" s="13" t="s">
        <v>203</v>
      </c>
      <c r="C9" s="13"/>
      <c r="D9" s="13"/>
      <c r="E9" s="13"/>
      <c r="F9" s="13"/>
      <c r="G9" s="13"/>
      <c r="H9" s="13"/>
    </row>
    <row r="10" spans="2:8">
      <c r="B10" s="13" t="s">
        <v>204</v>
      </c>
      <c r="C10" s="13"/>
      <c r="D10" s="13"/>
      <c r="E10" s="13"/>
      <c r="F10" s="13"/>
      <c r="G10" s="13"/>
      <c r="H10" s="13"/>
    </row>
    <row r="11" spans="2:8">
      <c r="B11" s="13" t="s">
        <v>207</v>
      </c>
      <c r="C11" s="13"/>
      <c r="D11" s="13"/>
      <c r="E11" s="13"/>
      <c r="F11" s="13"/>
      <c r="G11" s="13"/>
      <c r="H11" s="13"/>
    </row>
    <row r="12" spans="2:8">
      <c r="B12" s="13" t="s">
        <v>208</v>
      </c>
      <c r="C12" s="13"/>
      <c r="D12" s="13"/>
      <c r="E12" s="13"/>
      <c r="F12" s="13"/>
      <c r="G12" s="13"/>
      <c r="H12" s="13"/>
    </row>
    <row r="14" spans="2:8">
      <c r="B14" t="s">
        <v>250</v>
      </c>
    </row>
    <row r="15" spans="2:8">
      <c r="B15" t="s">
        <v>251</v>
      </c>
    </row>
    <row r="16" spans="2:8">
      <c r="B16" t="s">
        <v>252</v>
      </c>
    </row>
    <row r="17" spans="2:2">
      <c r="B17" t="s">
        <v>253</v>
      </c>
    </row>
  </sheetData>
  <mergeCells count="1">
    <mergeCell ref="B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20630-9128-478F-AB5D-612606739A8F}">
  <dimension ref="A1:T55"/>
  <sheetViews>
    <sheetView zoomScale="87" zoomScaleNormal="106" workbookViewId="0">
      <selection activeCell="B7" sqref="B7"/>
    </sheetView>
  </sheetViews>
  <sheetFormatPr defaultRowHeight="14.4"/>
  <cols>
    <col min="1" max="2" width="22.5546875" customWidth="1"/>
    <col min="3" max="3" width="10.33203125" bestFit="1" customWidth="1"/>
    <col min="4" max="4" width="20.77734375" customWidth="1"/>
    <col min="5" max="5" width="46.6640625" customWidth="1"/>
    <col min="7" max="7" width="16.88671875" customWidth="1"/>
    <col min="8" max="8" width="12" bestFit="1" customWidth="1"/>
    <col min="9" max="9" width="34.109375" customWidth="1"/>
    <col min="11" max="11" width="42.88671875" customWidth="1"/>
  </cols>
  <sheetData>
    <row r="1" spans="1:20">
      <c r="A1" s="62" t="s">
        <v>209</v>
      </c>
      <c r="B1" s="62"/>
      <c r="C1" s="62"/>
      <c r="D1" s="62"/>
      <c r="E1" s="62"/>
      <c r="G1" s="62" t="s">
        <v>210</v>
      </c>
      <c r="H1" s="62"/>
      <c r="I1" s="62"/>
      <c r="J1" s="62"/>
      <c r="K1" s="62"/>
    </row>
    <row r="2" spans="1:20">
      <c r="A2" s="13" t="s">
        <v>212</v>
      </c>
      <c r="B2" s="13" t="s">
        <v>231</v>
      </c>
      <c r="C2" s="34">
        <v>30000</v>
      </c>
      <c r="D2" s="13" t="s">
        <v>17</v>
      </c>
      <c r="E2" s="13"/>
      <c r="G2" s="13" t="s">
        <v>211</v>
      </c>
      <c r="H2" s="13">
        <f>C2/(C4*C5*1000)</f>
        <v>37.037037037037038</v>
      </c>
      <c r="I2" s="13" t="s">
        <v>222</v>
      </c>
      <c r="J2" s="95" t="s">
        <v>225</v>
      </c>
      <c r="K2" s="95"/>
    </row>
    <row r="3" spans="1:20">
      <c r="A3" s="13" t="s">
        <v>11</v>
      </c>
      <c r="B3" s="13" t="s">
        <v>91</v>
      </c>
      <c r="C3" s="34">
        <v>60</v>
      </c>
      <c r="D3" s="13" t="s">
        <v>12</v>
      </c>
      <c r="E3" s="13"/>
      <c r="G3" s="13"/>
      <c r="H3" s="13"/>
      <c r="I3" s="13"/>
      <c r="J3" s="20"/>
      <c r="K3" s="20"/>
    </row>
    <row r="4" spans="1:20">
      <c r="A4" s="13" t="s">
        <v>220</v>
      </c>
      <c r="B4" s="13" t="s">
        <v>233</v>
      </c>
      <c r="C4" s="34">
        <v>0.9</v>
      </c>
      <c r="D4" s="13"/>
      <c r="E4" s="13"/>
      <c r="K4" s="20"/>
    </row>
    <row r="5" spans="1:20" ht="46.8" customHeight="1">
      <c r="A5" s="13" t="s">
        <v>221</v>
      </c>
      <c r="B5" s="13" t="s">
        <v>234</v>
      </c>
      <c r="C5" s="34">
        <v>0.9</v>
      </c>
      <c r="D5" s="13"/>
      <c r="E5" s="13"/>
      <c r="G5" s="13" t="s">
        <v>223</v>
      </c>
      <c r="H5" s="13">
        <f>(C11*H7)/C14</f>
        <v>4.7778485983884173E-3</v>
      </c>
      <c r="I5" s="13" t="s">
        <v>229</v>
      </c>
      <c r="J5" s="96" t="s">
        <v>240</v>
      </c>
      <c r="K5" s="96"/>
    </row>
    <row r="6" spans="1:20">
      <c r="A6" s="13"/>
      <c r="B6" s="13"/>
      <c r="C6" s="13"/>
      <c r="D6" s="13"/>
      <c r="E6" s="13"/>
      <c r="G6" s="13"/>
      <c r="H6" s="13"/>
      <c r="I6" s="13"/>
      <c r="J6" s="95"/>
      <c r="K6" s="95"/>
      <c r="R6" t="s">
        <v>50</v>
      </c>
      <c r="S6">
        <v>20</v>
      </c>
      <c r="T6" t="s">
        <v>330</v>
      </c>
    </row>
    <row r="7" spans="1:20">
      <c r="A7" s="13" t="s">
        <v>215</v>
      </c>
      <c r="B7" s="13" t="s">
        <v>24</v>
      </c>
      <c r="C7" s="34">
        <f>H8*C14/120</f>
        <v>175</v>
      </c>
      <c r="D7" s="13" t="s">
        <v>26</v>
      </c>
      <c r="E7" s="13"/>
      <c r="G7" s="13" t="s">
        <v>50</v>
      </c>
      <c r="H7" s="13">
        <f>PI()*H15*H16</f>
        <v>3.9815404986570144E-2</v>
      </c>
      <c r="I7" s="13" t="s">
        <v>228</v>
      </c>
      <c r="J7" s="95" t="s">
        <v>224</v>
      </c>
      <c r="K7" s="95"/>
      <c r="R7" t="s">
        <v>34</v>
      </c>
      <c r="S7">
        <v>3</v>
      </c>
    </row>
    <row r="8" spans="1:20">
      <c r="A8" s="13" t="s">
        <v>38</v>
      </c>
      <c r="B8" s="13" t="s">
        <v>236</v>
      </c>
      <c r="C8" s="34">
        <v>96</v>
      </c>
      <c r="D8" s="13" t="s">
        <v>40</v>
      </c>
      <c r="E8" s="13"/>
      <c r="G8" s="13" t="s">
        <v>213</v>
      </c>
      <c r="H8" s="13">
        <v>2100</v>
      </c>
      <c r="I8" s="13" t="s">
        <v>214</v>
      </c>
      <c r="K8" s="13"/>
      <c r="R8" t="s">
        <v>257</v>
      </c>
      <c r="S8">
        <f>H19</f>
        <v>33.313060501851218</v>
      </c>
      <c r="T8" t="s">
        <v>331</v>
      </c>
    </row>
    <row r="9" spans="1:20">
      <c r="A9" s="13" t="s">
        <v>246</v>
      </c>
      <c r="B9" s="13" t="s">
        <v>245</v>
      </c>
      <c r="C9" s="42">
        <v>1.2</v>
      </c>
      <c r="D9" s="13"/>
      <c r="E9" s="13"/>
      <c r="G9" s="13" t="s">
        <v>227</v>
      </c>
      <c r="H9" s="13">
        <f>H8/60</f>
        <v>35</v>
      </c>
      <c r="I9" s="13" t="s">
        <v>76</v>
      </c>
      <c r="J9" s="95" t="s">
        <v>226</v>
      </c>
      <c r="K9" s="95"/>
      <c r="R9" t="s">
        <v>137</v>
      </c>
      <c r="S9">
        <f>H21</f>
        <v>7.6166196020313102</v>
      </c>
    </row>
    <row r="10" spans="1:20">
      <c r="A10" s="13" t="s">
        <v>264</v>
      </c>
      <c r="B10" s="13"/>
      <c r="C10" s="34">
        <v>3</v>
      </c>
      <c r="D10" s="13"/>
      <c r="E10" s="13"/>
      <c r="G10" s="13"/>
      <c r="H10" s="13"/>
      <c r="I10" s="13"/>
      <c r="J10" s="80"/>
      <c r="K10" s="80"/>
      <c r="R10" t="s">
        <v>329</v>
      </c>
      <c r="S10">
        <f>H25</f>
        <v>411.77306792530368</v>
      </c>
    </row>
    <row r="11" spans="1:20" ht="42" customHeight="1">
      <c r="A11" s="13" t="s">
        <v>217</v>
      </c>
      <c r="B11" s="13" t="s">
        <v>89</v>
      </c>
      <c r="C11" s="34">
        <v>1.2</v>
      </c>
      <c r="D11" s="13" t="s">
        <v>219</v>
      </c>
      <c r="E11" s="13"/>
      <c r="G11" s="13" t="s">
        <v>72</v>
      </c>
      <c r="H11" s="13">
        <f>(1.11*(PI()^2)*C11*C12*C13*10^-3)</f>
        <v>455.38828447637565</v>
      </c>
      <c r="I11" s="13"/>
      <c r="J11" s="55" t="s">
        <v>230</v>
      </c>
      <c r="K11" s="55"/>
      <c r="R11" t="s">
        <v>239</v>
      </c>
      <c r="S11">
        <f>2*S7*S9*S10/(PI()*S6)</f>
        <v>299.49638606055481</v>
      </c>
      <c r="T11" t="s">
        <v>113</v>
      </c>
    </row>
    <row r="12" spans="1:20">
      <c r="A12" s="13" t="s">
        <v>218</v>
      </c>
      <c r="B12" s="13" t="s">
        <v>90</v>
      </c>
      <c r="C12" s="34">
        <v>40000</v>
      </c>
      <c r="D12" s="13" t="s">
        <v>194</v>
      </c>
      <c r="E12" s="13"/>
      <c r="G12" s="13" t="s">
        <v>90</v>
      </c>
      <c r="H12" s="13">
        <f>2*C10*H21*H25/(PI()*H15)</f>
        <v>32669.050245390878</v>
      </c>
      <c r="I12" s="13"/>
      <c r="J12" s="80" t="s">
        <v>327</v>
      </c>
      <c r="K12" s="80"/>
    </row>
    <row r="13" spans="1:20" ht="28.8">
      <c r="A13" s="13" t="s">
        <v>88</v>
      </c>
      <c r="B13" s="13" t="s">
        <v>87</v>
      </c>
      <c r="C13" s="34">
        <f>'Winding Factor Sheet'!I2</f>
        <v>0.86599999999999999</v>
      </c>
      <c r="D13" s="13"/>
      <c r="E13" s="15" t="s">
        <v>333</v>
      </c>
      <c r="G13" s="13" t="s">
        <v>105</v>
      </c>
      <c r="H13" s="13">
        <f>H2/(H11*H9)</f>
        <v>2.3237336011351756E-3</v>
      </c>
      <c r="I13" s="13" t="s">
        <v>243</v>
      </c>
      <c r="J13" s="80" t="s">
        <v>238</v>
      </c>
      <c r="K13" s="80"/>
    </row>
    <row r="14" spans="1:20">
      <c r="A14" s="1" t="s">
        <v>216</v>
      </c>
      <c r="B14" s="1" t="s">
        <v>231</v>
      </c>
      <c r="C14" s="1">
        <v>10</v>
      </c>
      <c r="D14" s="13"/>
      <c r="E14" s="32" t="s">
        <v>244</v>
      </c>
      <c r="G14" s="13"/>
      <c r="H14" s="13"/>
      <c r="I14" s="13"/>
      <c r="J14" s="80"/>
      <c r="K14" s="80"/>
    </row>
    <row r="15" spans="1:20">
      <c r="A15" s="1" t="s">
        <v>237</v>
      </c>
      <c r="B15" s="1" t="s">
        <v>32</v>
      </c>
      <c r="C15" s="1">
        <v>60</v>
      </c>
      <c r="D15" s="13"/>
      <c r="E15" s="13" t="s">
        <v>249</v>
      </c>
      <c r="G15" s="33" t="s">
        <v>239</v>
      </c>
      <c r="H15" s="33">
        <f>((H13*C14)/(C9*PI()))^(1/3)</f>
        <v>0.18335175575103185</v>
      </c>
      <c r="I15" s="13" t="s">
        <v>34</v>
      </c>
      <c r="J15" s="80">
        <f>H15*1000</f>
        <v>183.35175575103185</v>
      </c>
      <c r="K15" s="80"/>
    </row>
    <row r="16" spans="1:20">
      <c r="A16" s="13"/>
      <c r="B16" s="13"/>
      <c r="C16" s="34"/>
      <c r="D16" s="13"/>
      <c r="E16" s="13"/>
      <c r="G16" s="33" t="s">
        <v>241</v>
      </c>
      <c r="H16" s="33">
        <f>C9*H18</f>
        <v>6.912198346682781E-2</v>
      </c>
      <c r="I16" s="13" t="s">
        <v>34</v>
      </c>
      <c r="J16" s="80">
        <f>H16*1000</f>
        <v>69.121983466827814</v>
      </c>
      <c r="K16" s="80"/>
    </row>
    <row r="17" spans="1:15">
      <c r="A17" s="13" t="s">
        <v>262</v>
      </c>
      <c r="B17" s="13"/>
      <c r="C17" s="34">
        <v>1</v>
      </c>
      <c r="D17" s="13"/>
      <c r="E17" s="13"/>
      <c r="G17" s="33" t="s">
        <v>232</v>
      </c>
      <c r="H17" s="33">
        <f>H16/H15</f>
        <v>0.37699111843077515</v>
      </c>
      <c r="I17" s="13"/>
      <c r="J17" s="91" t="s">
        <v>248</v>
      </c>
      <c r="K17" s="92"/>
      <c r="M17" t="s">
        <v>308</v>
      </c>
      <c r="N17">
        <f>N18/SQRT(3)</f>
        <v>33.313060501851218</v>
      </c>
      <c r="O17" t="s">
        <v>307</v>
      </c>
    </row>
    <row r="18" spans="1:15">
      <c r="A18" s="13" t="s">
        <v>270</v>
      </c>
      <c r="B18" s="13"/>
      <c r="C18" s="34">
        <v>0.7</v>
      </c>
      <c r="D18" s="13"/>
      <c r="E18" s="13"/>
      <c r="G18" s="13" t="s">
        <v>242</v>
      </c>
      <c r="H18" s="13">
        <f>PI()*H15/C14</f>
        <v>5.7601652889023178E-2</v>
      </c>
      <c r="I18" s="13" t="s">
        <v>34</v>
      </c>
      <c r="J18" s="80" t="s">
        <v>247</v>
      </c>
      <c r="K18" s="80"/>
      <c r="M18" t="s">
        <v>306</v>
      </c>
      <c r="N18">
        <f>N19/SQRT(2)</f>
        <v>57.699913344822271</v>
      </c>
      <c r="O18" t="s">
        <v>307</v>
      </c>
    </row>
    <row r="19" spans="1:15" ht="39" customHeight="1">
      <c r="A19" s="13"/>
      <c r="B19" s="13"/>
      <c r="C19" s="34"/>
      <c r="D19" s="13"/>
      <c r="E19" s="13"/>
      <c r="G19" s="13" t="s">
        <v>257</v>
      </c>
      <c r="H19" s="13">
        <f>H20/SQRT(3)</f>
        <v>33.313060501851218</v>
      </c>
      <c r="I19" s="13" t="s">
        <v>307</v>
      </c>
      <c r="J19" s="93" t="s">
        <v>268</v>
      </c>
      <c r="K19" s="93"/>
      <c r="M19" t="s">
        <v>305</v>
      </c>
      <c r="N19">
        <f>C8*H23</f>
        <v>81.599999999999994</v>
      </c>
      <c r="O19" t="s">
        <v>304</v>
      </c>
    </row>
    <row r="20" spans="1:15">
      <c r="A20" s="13" t="s">
        <v>271</v>
      </c>
      <c r="B20" s="13"/>
      <c r="C20" s="34">
        <v>60</v>
      </c>
      <c r="D20" s="13" t="s">
        <v>272</v>
      </c>
      <c r="E20" s="13"/>
      <c r="G20" s="13" t="s">
        <v>256</v>
      </c>
      <c r="H20" s="13">
        <f>N19/SQRT(2)</f>
        <v>57.699913344822271</v>
      </c>
      <c r="I20" s="13" t="s">
        <v>307</v>
      </c>
      <c r="J20" s="80"/>
      <c r="K20" s="80"/>
      <c r="M20" t="s">
        <v>259</v>
      </c>
    </row>
    <row r="21" spans="1:15">
      <c r="A21" s="13"/>
      <c r="B21" s="13"/>
      <c r="C21" s="34"/>
      <c r="D21" s="13"/>
      <c r="E21" s="13"/>
      <c r="G21" s="13" t="s">
        <v>137</v>
      </c>
      <c r="H21" s="35">
        <f>H19/(4.44*C7*C33*C13)</f>
        <v>7.6166196020313102</v>
      </c>
      <c r="I21" s="35"/>
      <c r="J21" s="94" t="s">
        <v>328</v>
      </c>
      <c r="K21" s="94"/>
      <c r="M21" t="s">
        <v>269</v>
      </c>
      <c r="N21">
        <f>C2/C4</f>
        <v>33333.333333333336</v>
      </c>
    </row>
    <row r="22" spans="1:15">
      <c r="A22" s="13" t="s">
        <v>275</v>
      </c>
      <c r="B22" s="13"/>
      <c r="C22" s="34">
        <v>6</v>
      </c>
      <c r="D22" s="13" t="s">
        <v>151</v>
      </c>
      <c r="E22" s="13" t="s">
        <v>276</v>
      </c>
      <c r="G22" s="13"/>
      <c r="H22" s="13"/>
      <c r="I22" s="13"/>
      <c r="J22" s="80"/>
      <c r="K22" s="80"/>
      <c r="M22" t="s">
        <v>256</v>
      </c>
      <c r="N22">
        <f>C8/SQRT(2)</f>
        <v>67.882250993908556</v>
      </c>
      <c r="O22" t="s">
        <v>40</v>
      </c>
    </row>
    <row r="23" spans="1:15">
      <c r="A23" s="13"/>
      <c r="B23" s="13"/>
      <c r="C23" s="34"/>
      <c r="D23" s="13"/>
      <c r="E23" s="13"/>
      <c r="G23" s="13" t="s">
        <v>61</v>
      </c>
      <c r="H23" s="13">
        <v>0.85</v>
      </c>
      <c r="I23" s="13"/>
      <c r="J23" s="80" t="s">
        <v>309</v>
      </c>
      <c r="K23" s="80"/>
      <c r="M23" t="s">
        <v>257</v>
      </c>
      <c r="N23">
        <f>N22/SQRT(3)</f>
        <v>39.191835884530846</v>
      </c>
      <c r="O23" t="s">
        <v>40</v>
      </c>
    </row>
    <row r="24" spans="1:15">
      <c r="A24" s="13" t="s">
        <v>280</v>
      </c>
      <c r="B24" s="13"/>
      <c r="C24" s="34">
        <v>1.3</v>
      </c>
      <c r="D24" s="13" t="s">
        <v>91</v>
      </c>
      <c r="E24" s="13" t="s">
        <v>283</v>
      </c>
      <c r="G24" s="13" t="s">
        <v>259</v>
      </c>
      <c r="H24" s="13">
        <f>(H2*1000/(SQRT(3)*H20*C5))</f>
        <v>411.77306792530368</v>
      </c>
      <c r="I24" s="13" t="s">
        <v>50</v>
      </c>
      <c r="J24" s="80" t="s">
        <v>258</v>
      </c>
      <c r="K24" s="80"/>
    </row>
    <row r="25" spans="1:15">
      <c r="A25" s="13" t="s">
        <v>281</v>
      </c>
      <c r="B25" s="13"/>
      <c r="C25" s="34">
        <v>0.7</v>
      </c>
      <c r="D25" s="13" t="s">
        <v>91</v>
      </c>
      <c r="E25" s="13" t="s">
        <v>282</v>
      </c>
      <c r="G25" s="13" t="s">
        <v>260</v>
      </c>
      <c r="H25" s="13">
        <f>H24</f>
        <v>411.77306792530368</v>
      </c>
      <c r="I25" s="13" t="s">
        <v>50</v>
      </c>
      <c r="J25" s="80" t="s">
        <v>310</v>
      </c>
      <c r="K25" s="80"/>
    </row>
    <row r="26" spans="1:15">
      <c r="A26" s="13"/>
      <c r="B26" s="13"/>
      <c r="C26" s="34"/>
      <c r="D26" s="13"/>
      <c r="E26" s="13"/>
      <c r="G26" s="13" t="s">
        <v>261</v>
      </c>
      <c r="H26" s="13">
        <f>H25/C17</f>
        <v>411.77306792530368</v>
      </c>
      <c r="I26" s="13" t="s">
        <v>50</v>
      </c>
      <c r="J26" s="80" t="s">
        <v>267</v>
      </c>
      <c r="K26" s="80"/>
      <c r="M26" t="s">
        <v>332</v>
      </c>
      <c r="N26">
        <f>H21*2</f>
        <v>15.23323920406262</v>
      </c>
    </row>
    <row r="27" spans="1:15" ht="45.6" customHeight="1">
      <c r="A27" s="13" t="s">
        <v>123</v>
      </c>
      <c r="B27" s="13"/>
      <c r="C27" s="34">
        <v>0.95</v>
      </c>
      <c r="D27" s="13"/>
      <c r="E27" s="14" t="s">
        <v>285</v>
      </c>
      <c r="G27" s="13"/>
      <c r="H27" s="13">
        <f>H24/SQRT(2)</f>
        <v>291.16752863997107</v>
      </c>
      <c r="I27" s="13"/>
      <c r="J27" s="80"/>
      <c r="K27" s="80"/>
    </row>
    <row r="28" spans="1:15">
      <c r="A28" s="13"/>
      <c r="B28" s="13"/>
      <c r="C28" s="13"/>
      <c r="D28" s="13"/>
      <c r="E28" s="13"/>
      <c r="G28" s="13" t="s">
        <v>263</v>
      </c>
      <c r="H28" s="13">
        <f>C15/(2*C10)</f>
        <v>10</v>
      </c>
      <c r="I28" s="13"/>
      <c r="J28" s="80" t="s">
        <v>303</v>
      </c>
      <c r="K28" s="80"/>
    </row>
    <row r="29" spans="1:15">
      <c r="A29" t="s">
        <v>311</v>
      </c>
      <c r="B29" s="35"/>
      <c r="C29" s="35">
        <v>25</v>
      </c>
      <c r="D29" s="35" t="s">
        <v>113</v>
      </c>
      <c r="E29" s="13"/>
      <c r="G29" s="13"/>
      <c r="H29" s="13"/>
      <c r="I29" s="13"/>
      <c r="J29" s="80"/>
      <c r="K29" s="80"/>
    </row>
    <row r="30" spans="1:15">
      <c r="A30" s="13" t="s">
        <v>312</v>
      </c>
      <c r="B30" s="13"/>
      <c r="C30" s="34">
        <v>100</v>
      </c>
      <c r="D30" s="13" t="s">
        <v>113</v>
      </c>
      <c r="E30" s="13"/>
      <c r="G30" s="1" t="s">
        <v>265</v>
      </c>
      <c r="H30" s="1">
        <f>(H21*C17)/H28</f>
        <v>0.76166196020313104</v>
      </c>
      <c r="I30" s="13"/>
      <c r="J30" s="80" t="s">
        <v>266</v>
      </c>
      <c r="K30" s="80"/>
    </row>
    <row r="31" spans="1:15">
      <c r="A31" s="13" t="s">
        <v>313</v>
      </c>
      <c r="B31" s="13"/>
      <c r="C31" s="13">
        <f>(C29*C30/1000000)</f>
        <v>2.5000000000000001E-3</v>
      </c>
      <c r="D31" s="13" t="s">
        <v>228</v>
      </c>
      <c r="E31" s="13"/>
    </row>
    <row r="32" spans="1:15">
      <c r="A32" s="13" t="s">
        <v>168</v>
      </c>
      <c r="B32" s="13"/>
      <c r="C32" s="13">
        <v>1.3</v>
      </c>
      <c r="D32" s="13" t="s">
        <v>91</v>
      </c>
      <c r="E32" s="13"/>
    </row>
    <row r="33" spans="1:14" ht="15" thickBot="1">
      <c r="A33" s="13" t="s">
        <v>314</v>
      </c>
      <c r="B33" s="13"/>
      <c r="C33" s="13">
        <f>C32*C31*2</f>
        <v>6.5000000000000006E-3</v>
      </c>
      <c r="D33" s="13" t="s">
        <v>229</v>
      </c>
      <c r="E33" s="13"/>
    </row>
    <row r="34" spans="1:14">
      <c r="G34" s="36" t="s">
        <v>273</v>
      </c>
      <c r="H34" s="37">
        <f>H2/(3*H19*10^-3)</f>
        <v>370.5957611327733</v>
      </c>
      <c r="I34" s="37" t="s">
        <v>50</v>
      </c>
      <c r="J34" s="60" t="s">
        <v>274</v>
      </c>
      <c r="K34" s="61"/>
      <c r="L34" s="82" t="s">
        <v>284</v>
      </c>
      <c r="M34" s="83"/>
      <c r="N34" s="84"/>
    </row>
    <row r="35" spans="1:14">
      <c r="B35" t="s">
        <v>50</v>
      </c>
      <c r="C35">
        <f>2*C10*H21*H25/(C17*PI()*H15)</f>
        <v>32669.050245390878</v>
      </c>
      <c r="G35" s="7"/>
      <c r="K35" s="38"/>
      <c r="L35" s="85"/>
      <c r="M35" s="86"/>
      <c r="N35" s="87"/>
    </row>
    <row r="36" spans="1:14">
      <c r="G36" s="7" t="s">
        <v>277</v>
      </c>
      <c r="H36">
        <f>H34/C22</f>
        <v>61.765960188795553</v>
      </c>
      <c r="I36" t="s">
        <v>278</v>
      </c>
      <c r="K36" s="38"/>
      <c r="L36" s="85"/>
      <c r="M36" s="86"/>
      <c r="N36" s="87"/>
    </row>
    <row r="37" spans="1:14">
      <c r="G37" s="7"/>
      <c r="K37" s="38"/>
      <c r="L37" s="85"/>
      <c r="M37" s="86"/>
      <c r="N37" s="87"/>
    </row>
    <row r="38" spans="1:14">
      <c r="G38" s="7" t="s">
        <v>279</v>
      </c>
      <c r="H38">
        <f>(SIN(PI()*C14/C15))*H5/2</f>
        <v>1.1944621495971041E-3</v>
      </c>
      <c r="I38" t="s">
        <v>229</v>
      </c>
      <c r="K38" s="38"/>
      <c r="L38" s="85"/>
      <c r="M38" s="86"/>
      <c r="N38" s="87"/>
    </row>
    <row r="39" spans="1:14">
      <c r="A39" t="s">
        <v>316</v>
      </c>
      <c r="C39">
        <v>8.9999999999999993E-3</v>
      </c>
      <c r="D39" t="s">
        <v>34</v>
      </c>
      <c r="G39" s="7" t="s">
        <v>286</v>
      </c>
      <c r="H39">
        <f>H5/(2*C25*H16*C27)</f>
        <v>5.1971416140472036E-2</v>
      </c>
      <c r="I39" t="s">
        <v>288</v>
      </c>
      <c r="J39" s="66" t="s">
        <v>287</v>
      </c>
      <c r="K39" s="67"/>
      <c r="L39" s="85"/>
      <c r="M39" s="86"/>
      <c r="N39" s="87"/>
    </row>
    <row r="40" spans="1:14">
      <c r="A40" s="7" t="s">
        <v>321</v>
      </c>
      <c r="C40">
        <v>1.4999999999999999E-2</v>
      </c>
      <c r="D40" t="s">
        <v>34</v>
      </c>
      <c r="E40" t="s">
        <v>301</v>
      </c>
      <c r="G40" s="7"/>
      <c r="H40">
        <f>H39*1000</f>
        <v>51.971416140472037</v>
      </c>
      <c r="I40" t="s">
        <v>113</v>
      </c>
      <c r="J40" s="66" t="s">
        <v>287</v>
      </c>
      <c r="K40" s="67"/>
      <c r="L40" s="85"/>
      <c r="M40" s="86"/>
      <c r="N40" s="87"/>
    </row>
    <row r="41" spans="1:14">
      <c r="A41" s="7" t="s">
        <v>322</v>
      </c>
      <c r="E41" s="38"/>
      <c r="G41" s="7" t="s">
        <v>302</v>
      </c>
      <c r="H41">
        <f>H38/(H16*C27*C24)</f>
        <v>1.39923043455117E-2</v>
      </c>
      <c r="I41" t="s">
        <v>34</v>
      </c>
      <c r="K41" s="38"/>
      <c r="L41" s="85"/>
      <c r="M41" s="86"/>
      <c r="N41" s="87"/>
    </row>
    <row r="42" spans="1:14">
      <c r="A42" t="s">
        <v>325</v>
      </c>
      <c r="C42">
        <v>0.4</v>
      </c>
      <c r="G42" s="43" t="s">
        <v>324</v>
      </c>
      <c r="H42">
        <f>(1-H43)*H44*C40</f>
        <v>9.004132222557961E-6</v>
      </c>
      <c r="I42" t="s">
        <v>228</v>
      </c>
      <c r="L42" s="85"/>
      <c r="M42" s="86"/>
      <c r="N42" s="87"/>
    </row>
    <row r="43" spans="1:14">
      <c r="G43" s="43" t="s">
        <v>242</v>
      </c>
      <c r="H43">
        <f>C39/H44</f>
        <v>0.93747309828135972</v>
      </c>
      <c r="L43" s="85"/>
      <c r="M43" s="86"/>
      <c r="N43" s="87"/>
    </row>
    <row r="44" spans="1:14">
      <c r="G44" s="43" t="s">
        <v>315</v>
      </c>
      <c r="H44">
        <f>H15*PI()/C15</f>
        <v>9.600275481503863E-3</v>
      </c>
      <c r="I44" t="s">
        <v>34</v>
      </c>
      <c r="K44" s="38" t="s">
        <v>323</v>
      </c>
      <c r="L44" s="85"/>
      <c r="M44" s="86"/>
      <c r="N44" s="87"/>
    </row>
    <row r="45" spans="1:14">
      <c r="G45" s="7"/>
      <c r="K45" s="38"/>
      <c r="L45" s="85"/>
      <c r="M45" s="86"/>
      <c r="N45" s="87"/>
    </row>
    <row r="46" spans="1:14">
      <c r="G46" s="7" t="s">
        <v>326</v>
      </c>
      <c r="H46">
        <f>C12*H44/(C42*H42*1000000)</f>
        <v>106.62077415358684</v>
      </c>
      <c r="I46" t="s">
        <v>151</v>
      </c>
      <c r="K46" s="38"/>
      <c r="L46" s="85"/>
      <c r="M46" s="86"/>
      <c r="N46" s="87"/>
    </row>
    <row r="47" spans="1:14">
      <c r="G47" s="7"/>
      <c r="K47" s="38"/>
      <c r="L47" s="85"/>
      <c r="M47" s="86"/>
      <c r="N47" s="87"/>
    </row>
    <row r="48" spans="1:14" ht="15" thickBot="1">
      <c r="G48" s="6"/>
      <c r="H48" s="39"/>
      <c r="I48" s="39"/>
      <c r="J48" s="39"/>
      <c r="K48" s="40"/>
      <c r="L48" s="88"/>
      <c r="M48" s="89"/>
      <c r="N48" s="90"/>
    </row>
    <row r="51" spans="1:4">
      <c r="A51" t="s">
        <v>317</v>
      </c>
      <c r="B51" t="s">
        <v>318</v>
      </c>
      <c r="C51">
        <f>C11/H43</f>
        <v>1.2800367308671818</v>
      </c>
      <c r="D51" t="s">
        <v>91</v>
      </c>
    </row>
    <row r="53" spans="1:4">
      <c r="B53" t="s">
        <v>319</v>
      </c>
      <c r="C53">
        <f>C10*H25*H19</f>
        <v>41152.263374485599</v>
      </c>
    </row>
    <row r="54" spans="1:4">
      <c r="B54" t="s">
        <v>320</v>
      </c>
      <c r="C54">
        <f>H8*PI()/30</f>
        <v>219.91148575128551</v>
      </c>
      <c r="D54" t="s">
        <v>13</v>
      </c>
    </row>
    <row r="55" spans="1:4">
      <c r="B55" t="s">
        <v>91</v>
      </c>
      <c r="C55">
        <f>C53/C54</f>
        <v>187.13103244196984</v>
      </c>
      <c r="D55" t="s">
        <v>12</v>
      </c>
    </row>
  </sheetData>
  <mergeCells count="32">
    <mergeCell ref="J7:K7"/>
    <mergeCell ref="A1:E1"/>
    <mergeCell ref="G1:K1"/>
    <mergeCell ref="J2:K2"/>
    <mergeCell ref="J5:K5"/>
    <mergeCell ref="J6:K6"/>
    <mergeCell ref="J9:K9"/>
    <mergeCell ref="J10:K10"/>
    <mergeCell ref="J11:K11"/>
    <mergeCell ref="J12:K12"/>
    <mergeCell ref="J13:K13"/>
    <mergeCell ref="J25:K25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L34:N48"/>
    <mergeCell ref="J39:K39"/>
    <mergeCell ref="J40:K40"/>
    <mergeCell ref="J26:K26"/>
    <mergeCell ref="J27:K27"/>
    <mergeCell ref="J28:K28"/>
    <mergeCell ref="J29:K29"/>
    <mergeCell ref="J30:K30"/>
    <mergeCell ref="J34:K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C1C9-E29F-46C9-B23D-F3B9A4AD89BA}">
  <dimension ref="A1:N62"/>
  <sheetViews>
    <sheetView tabSelected="1" zoomScale="95" zoomScaleNormal="106" workbookViewId="0">
      <selection activeCell="C6" sqref="C6"/>
    </sheetView>
  </sheetViews>
  <sheetFormatPr defaultRowHeight="14.4"/>
  <cols>
    <col min="1" max="1" width="28.5546875" customWidth="1"/>
    <col min="2" max="2" width="22.5546875" customWidth="1"/>
    <col min="3" max="3" width="10.33203125" bestFit="1" customWidth="1"/>
    <col min="4" max="4" width="20.77734375" customWidth="1"/>
    <col min="5" max="5" width="46.6640625" customWidth="1"/>
    <col min="6" max="6" width="8.88671875" style="62"/>
    <col min="7" max="7" width="23.21875" customWidth="1"/>
    <col min="8" max="8" width="17.88671875" customWidth="1"/>
    <col min="9" max="9" width="34.109375" customWidth="1"/>
    <col min="11" max="11" width="42.88671875" customWidth="1"/>
    <col min="13" max="13" width="11.6640625" customWidth="1"/>
  </cols>
  <sheetData>
    <row r="1" spans="1:11">
      <c r="A1" s="62" t="s">
        <v>209</v>
      </c>
      <c r="B1" s="62"/>
      <c r="C1" s="62"/>
      <c r="D1" s="62"/>
      <c r="E1" s="62"/>
      <c r="G1" s="62" t="s">
        <v>210</v>
      </c>
      <c r="H1" s="62"/>
      <c r="I1" s="62"/>
      <c r="J1" s="62"/>
      <c r="K1" s="62"/>
    </row>
    <row r="2" spans="1:11">
      <c r="A2" s="13" t="s">
        <v>212</v>
      </c>
      <c r="B2" s="13" t="s">
        <v>231</v>
      </c>
      <c r="C2" s="34">
        <v>14500</v>
      </c>
      <c r="D2" s="13" t="s">
        <v>17</v>
      </c>
      <c r="E2" s="48"/>
      <c r="G2" s="47" t="s">
        <v>211</v>
      </c>
      <c r="H2" s="13">
        <f>C2/(C4*C5*1000)</f>
        <v>17.901234567901234</v>
      </c>
      <c r="I2" s="13" t="s">
        <v>222</v>
      </c>
      <c r="J2" s="95" t="s">
        <v>225</v>
      </c>
      <c r="K2" s="95"/>
    </row>
    <row r="3" spans="1:11">
      <c r="A3" s="13" t="s">
        <v>11</v>
      </c>
      <c r="B3" s="13" t="s">
        <v>91</v>
      </c>
      <c r="C3" s="34">
        <v>60</v>
      </c>
      <c r="D3" s="13" t="s">
        <v>12</v>
      </c>
      <c r="E3" s="48"/>
      <c r="G3" s="47"/>
      <c r="H3" s="13"/>
      <c r="I3" s="13"/>
      <c r="J3" s="20"/>
      <c r="K3" s="20"/>
    </row>
    <row r="4" spans="1:11">
      <c r="A4" s="13" t="s">
        <v>220</v>
      </c>
      <c r="B4" s="13" t="s">
        <v>233</v>
      </c>
      <c r="C4" s="34">
        <v>0.9</v>
      </c>
      <c r="D4" s="13"/>
      <c r="E4" s="48"/>
      <c r="K4" s="20"/>
    </row>
    <row r="5" spans="1:11" ht="46.8" customHeight="1">
      <c r="A5" s="13" t="s">
        <v>221</v>
      </c>
      <c r="B5" s="13" t="s">
        <v>234</v>
      </c>
      <c r="C5" s="34">
        <v>0.9</v>
      </c>
      <c r="D5" s="13"/>
      <c r="E5" s="48"/>
      <c r="G5" s="47" t="s">
        <v>223</v>
      </c>
      <c r="H5" s="13">
        <f>(C14*H7)/C17</f>
        <v>4.411442163311143E-3</v>
      </c>
      <c r="I5" s="13" t="s">
        <v>229</v>
      </c>
      <c r="J5" s="96" t="s">
        <v>240</v>
      </c>
      <c r="K5" s="96"/>
    </row>
    <row r="6" spans="1:11">
      <c r="A6" s="13" t="s">
        <v>213</v>
      </c>
      <c r="B6" s="13" t="s">
        <v>235</v>
      </c>
      <c r="C6" s="34">
        <f>(C2/C3)*(30/(PI()))</f>
        <v>2307.7466748324823</v>
      </c>
      <c r="D6" s="13" t="s">
        <v>214</v>
      </c>
      <c r="E6" s="48"/>
      <c r="G6" s="47"/>
      <c r="H6" s="13"/>
      <c r="I6" s="13"/>
      <c r="J6" s="95"/>
      <c r="K6" s="95"/>
    </row>
    <row r="7" spans="1:11">
      <c r="A7" s="13" t="s">
        <v>215</v>
      </c>
      <c r="B7" s="13" t="s">
        <v>24</v>
      </c>
      <c r="C7" s="34">
        <f>C6*C17/120</f>
        <v>153.84977832216549</v>
      </c>
      <c r="D7" s="13" t="s">
        <v>26</v>
      </c>
      <c r="E7" s="48"/>
      <c r="G7" s="47" t="s">
        <v>50</v>
      </c>
      <c r="H7" s="13">
        <f>PI()*H15*H16</f>
        <v>5.8819228844148572E-2</v>
      </c>
      <c r="I7" s="13" t="s">
        <v>228</v>
      </c>
      <c r="J7" s="95" t="s">
        <v>224</v>
      </c>
      <c r="K7" s="95"/>
    </row>
    <row r="8" spans="1:11">
      <c r="A8" s="13" t="s">
        <v>38</v>
      </c>
      <c r="B8" s="13" t="s">
        <v>236</v>
      </c>
      <c r="C8" s="34">
        <v>48</v>
      </c>
      <c r="D8" s="13" t="s">
        <v>40</v>
      </c>
      <c r="E8" s="48"/>
      <c r="G8" s="47"/>
      <c r="H8" s="13"/>
      <c r="I8" s="13"/>
      <c r="J8" s="80"/>
      <c r="K8" s="80"/>
    </row>
    <row r="9" spans="1:11">
      <c r="A9" s="13" t="s">
        <v>246</v>
      </c>
      <c r="B9" s="13" t="s">
        <v>245</v>
      </c>
      <c r="C9" s="42">
        <v>4</v>
      </c>
      <c r="D9" s="13"/>
      <c r="E9" s="48"/>
      <c r="G9" s="47" t="s">
        <v>227</v>
      </c>
      <c r="H9" s="13">
        <f>C6/60</f>
        <v>38.462444580541373</v>
      </c>
      <c r="I9" s="13" t="s">
        <v>76</v>
      </c>
      <c r="J9" s="95" t="s">
        <v>226</v>
      </c>
      <c r="K9" s="95"/>
    </row>
    <row r="10" spans="1:11">
      <c r="A10" s="13" t="s">
        <v>264</v>
      </c>
      <c r="B10" s="13"/>
      <c r="C10" s="34">
        <v>3</v>
      </c>
      <c r="D10" s="13"/>
      <c r="E10" s="48"/>
      <c r="G10" s="47"/>
      <c r="H10" s="13"/>
      <c r="I10" s="13"/>
      <c r="J10" s="80"/>
      <c r="K10" s="80"/>
    </row>
    <row r="11" spans="1:11" ht="42" customHeight="1">
      <c r="A11" s="13" t="s">
        <v>338</v>
      </c>
      <c r="B11" s="13" t="s">
        <v>339</v>
      </c>
      <c r="C11" s="49">
        <v>14</v>
      </c>
      <c r="D11" s="35" t="s">
        <v>113</v>
      </c>
      <c r="E11" s="48"/>
      <c r="G11" s="47" t="s">
        <v>72</v>
      </c>
      <c r="H11" s="13">
        <f>(1.11*(PI()^2)*C14*C15*C16*10^-3)</f>
        <v>227.69414223818782</v>
      </c>
      <c r="I11" s="13"/>
      <c r="J11" s="55" t="s">
        <v>230</v>
      </c>
      <c r="K11" s="55"/>
    </row>
    <row r="12" spans="1:11">
      <c r="A12" s="13" t="s">
        <v>340</v>
      </c>
      <c r="B12" s="13" t="s">
        <v>168</v>
      </c>
      <c r="C12" s="34">
        <v>1.3</v>
      </c>
      <c r="D12" s="13" t="s">
        <v>91</v>
      </c>
      <c r="E12" s="48"/>
      <c r="G12" s="47" t="s">
        <v>90</v>
      </c>
      <c r="H12" s="13">
        <f>2*C10*H28*H32/(PI()*H15)</f>
        <v>35909.17511852779</v>
      </c>
      <c r="I12" s="13"/>
      <c r="J12" s="80" t="s">
        <v>327</v>
      </c>
      <c r="K12" s="80"/>
    </row>
    <row r="13" spans="1:11">
      <c r="A13" s="13" t="s">
        <v>346</v>
      </c>
      <c r="B13" s="13"/>
      <c r="C13" s="34">
        <v>2</v>
      </c>
      <c r="D13" s="13"/>
      <c r="E13" s="48"/>
      <c r="G13" s="47" t="s">
        <v>105</v>
      </c>
      <c r="H13" s="13">
        <f>H2/(H11*H9)</f>
        <v>2.0440628348632863E-3</v>
      </c>
      <c r="I13" s="13" t="s">
        <v>243</v>
      </c>
      <c r="J13" s="80" t="s">
        <v>238</v>
      </c>
      <c r="K13" s="80"/>
    </row>
    <row r="14" spans="1:11">
      <c r="A14" s="13" t="s">
        <v>217</v>
      </c>
      <c r="B14" s="13" t="s">
        <v>89</v>
      </c>
      <c r="C14" s="34">
        <v>0.6</v>
      </c>
      <c r="D14" s="13" t="s">
        <v>219</v>
      </c>
      <c r="E14" s="48"/>
      <c r="G14" s="47"/>
      <c r="H14" s="13"/>
      <c r="I14" s="13"/>
      <c r="J14" s="80"/>
      <c r="K14" s="80"/>
    </row>
    <row r="15" spans="1:11">
      <c r="A15" s="13" t="s">
        <v>218</v>
      </c>
      <c r="B15" s="13" t="s">
        <v>90</v>
      </c>
      <c r="C15" s="34">
        <v>40000</v>
      </c>
      <c r="D15" s="13" t="s">
        <v>194</v>
      </c>
      <c r="E15" s="48"/>
      <c r="G15" s="53" t="s">
        <v>239</v>
      </c>
      <c r="H15" s="33">
        <f>((H13*C17)/(C9*PI()))^(1/3)</f>
        <v>0.10917539912836287</v>
      </c>
      <c r="I15" s="13" t="s">
        <v>34</v>
      </c>
      <c r="J15" s="80">
        <f>H15*1000</f>
        <v>109.17539912836287</v>
      </c>
      <c r="K15" s="80"/>
    </row>
    <row r="16" spans="1:11" ht="28.8">
      <c r="A16" s="13" t="s">
        <v>88</v>
      </c>
      <c r="B16" s="13" t="s">
        <v>87</v>
      </c>
      <c r="C16" s="34">
        <f>'Winding Factor Sheet'!I2</f>
        <v>0.86599999999999999</v>
      </c>
      <c r="D16" s="13"/>
      <c r="E16" s="50" t="s">
        <v>333</v>
      </c>
      <c r="G16" s="53" t="s">
        <v>241</v>
      </c>
      <c r="H16" s="33">
        <f>C9*H18</f>
        <v>0.17149231592719916</v>
      </c>
      <c r="I16" s="13" t="s">
        <v>34</v>
      </c>
      <c r="J16" s="80">
        <f>H16*1000</f>
        <v>171.49231592719914</v>
      </c>
      <c r="K16" s="80"/>
    </row>
    <row r="17" spans="1:13">
      <c r="A17" s="1" t="s">
        <v>216</v>
      </c>
      <c r="B17" s="1" t="s">
        <v>231</v>
      </c>
      <c r="C17" s="1">
        <v>8</v>
      </c>
      <c r="D17" s="13"/>
      <c r="E17" s="51" t="s">
        <v>244</v>
      </c>
      <c r="G17" s="53" t="s">
        <v>232</v>
      </c>
      <c r="H17" s="33">
        <f>H16/H15</f>
        <v>1.5707963267948968</v>
      </c>
      <c r="I17" s="13"/>
      <c r="J17" s="91" t="s">
        <v>248</v>
      </c>
      <c r="K17" s="92"/>
    </row>
    <row r="18" spans="1:13">
      <c r="A18" s="1" t="s">
        <v>237</v>
      </c>
      <c r="B18" s="1" t="s">
        <v>32</v>
      </c>
      <c r="C18" s="1">
        <v>12</v>
      </c>
      <c r="D18" s="13"/>
      <c r="E18" s="48" t="s">
        <v>249</v>
      </c>
      <c r="G18" s="47" t="s">
        <v>242</v>
      </c>
      <c r="H18" s="13">
        <f>PI()*H15/C17</f>
        <v>4.2873078981799789E-2</v>
      </c>
      <c r="I18" s="13" t="s">
        <v>34</v>
      </c>
      <c r="J18" s="80" t="s">
        <v>247</v>
      </c>
      <c r="K18" s="80"/>
    </row>
    <row r="19" spans="1:13" ht="39" customHeight="1">
      <c r="A19" s="13"/>
      <c r="B19" s="13"/>
      <c r="C19" s="34"/>
      <c r="D19" s="13"/>
      <c r="E19" s="48"/>
      <c r="G19" s="47"/>
      <c r="H19" s="13"/>
      <c r="I19" s="13"/>
      <c r="J19" s="91"/>
      <c r="K19" s="92"/>
    </row>
    <row r="20" spans="1:13">
      <c r="A20" s="13" t="s">
        <v>262</v>
      </c>
      <c r="B20" s="13"/>
      <c r="C20" s="34">
        <v>2</v>
      </c>
      <c r="D20" s="13"/>
      <c r="E20" s="48"/>
      <c r="G20" s="47" t="s">
        <v>337</v>
      </c>
      <c r="H20" s="13">
        <v>150</v>
      </c>
      <c r="I20" s="45" t="s">
        <v>113</v>
      </c>
      <c r="J20" s="97" t="s">
        <v>345</v>
      </c>
      <c r="K20" s="98"/>
      <c r="L20" s="99" t="s">
        <v>343</v>
      </c>
      <c r="M20" s="99"/>
    </row>
    <row r="21" spans="1:13">
      <c r="A21" s="13" t="s">
        <v>270</v>
      </c>
      <c r="B21" s="13"/>
      <c r="C21" s="34">
        <v>0.7</v>
      </c>
      <c r="D21" s="13"/>
      <c r="E21" s="48"/>
      <c r="G21" s="47" t="s">
        <v>313</v>
      </c>
      <c r="H21" s="13">
        <f>(C11*H20/1000000)</f>
        <v>2.0999999999999999E-3</v>
      </c>
      <c r="I21" s="45" t="s">
        <v>228</v>
      </c>
      <c r="J21" s="97" t="s">
        <v>341</v>
      </c>
      <c r="K21" s="98"/>
      <c r="L21" s="99"/>
      <c r="M21" s="99"/>
    </row>
    <row r="22" spans="1:13">
      <c r="A22" s="13"/>
      <c r="B22" s="13"/>
      <c r="C22" s="34"/>
      <c r="D22" s="13"/>
      <c r="E22" s="48"/>
      <c r="G22" s="47" t="s">
        <v>314</v>
      </c>
      <c r="H22" s="13">
        <f>C12*H21*C13</f>
        <v>5.4599999999999996E-3</v>
      </c>
      <c r="I22" s="45" t="s">
        <v>229</v>
      </c>
      <c r="J22" s="97" t="s">
        <v>342</v>
      </c>
      <c r="K22" s="98"/>
      <c r="L22" s="99"/>
      <c r="M22" s="99"/>
    </row>
    <row r="23" spans="1:13">
      <c r="A23" s="13" t="s">
        <v>271</v>
      </c>
      <c r="B23" s="13"/>
      <c r="C23" s="34">
        <v>60</v>
      </c>
      <c r="D23" s="13" t="s">
        <v>272</v>
      </c>
      <c r="E23" s="48"/>
      <c r="G23" s="46"/>
      <c r="H23" s="44"/>
      <c r="I23" s="13"/>
      <c r="J23" s="91"/>
      <c r="K23" s="92"/>
    </row>
    <row r="24" spans="1:13">
      <c r="A24" s="13"/>
      <c r="B24" s="13"/>
      <c r="C24" s="34"/>
      <c r="D24" s="13"/>
      <c r="E24" s="48"/>
      <c r="G24" s="46"/>
      <c r="H24" s="44"/>
      <c r="I24" s="13"/>
      <c r="J24" s="91"/>
      <c r="K24" s="92"/>
    </row>
    <row r="25" spans="1:13">
      <c r="A25" s="13" t="s">
        <v>275</v>
      </c>
      <c r="B25" s="13"/>
      <c r="C25" s="34">
        <v>6</v>
      </c>
      <c r="D25" s="13" t="s">
        <v>151</v>
      </c>
      <c r="E25" s="48" t="s">
        <v>276</v>
      </c>
      <c r="G25" s="46"/>
      <c r="H25" s="44"/>
      <c r="I25" s="13"/>
      <c r="J25" s="91"/>
      <c r="K25" s="92"/>
    </row>
    <row r="26" spans="1:13">
      <c r="A26" s="13"/>
      <c r="B26" s="13"/>
      <c r="C26" s="34"/>
      <c r="D26" s="13"/>
      <c r="E26" s="48"/>
      <c r="G26" s="47" t="s">
        <v>257</v>
      </c>
      <c r="H26" s="13">
        <f>H27/SQRT(3)</f>
        <v>16.656530250925609</v>
      </c>
      <c r="I26" s="13" t="s">
        <v>307</v>
      </c>
      <c r="J26" s="93" t="s">
        <v>268</v>
      </c>
      <c r="K26" s="93"/>
      <c r="L26" s="100" t="s">
        <v>344</v>
      </c>
      <c r="M26" s="100"/>
    </row>
    <row r="27" spans="1:13" ht="45.6" customHeight="1">
      <c r="A27" s="13" t="s">
        <v>280</v>
      </c>
      <c r="B27" s="13"/>
      <c r="C27" s="34">
        <v>1.3</v>
      </c>
      <c r="D27" s="13" t="s">
        <v>91</v>
      </c>
      <c r="E27" s="48" t="s">
        <v>283</v>
      </c>
      <c r="G27" s="47" t="s">
        <v>256</v>
      </c>
      <c r="H27" s="13">
        <f>(C8*H30)/SQRT(2)</f>
        <v>28.849956672411135</v>
      </c>
      <c r="I27" s="13" t="s">
        <v>307</v>
      </c>
      <c r="J27" s="80" t="s">
        <v>347</v>
      </c>
      <c r="K27" s="80"/>
      <c r="L27" s="100"/>
      <c r="M27" s="100"/>
    </row>
    <row r="28" spans="1:13">
      <c r="A28" s="13" t="s">
        <v>281</v>
      </c>
      <c r="B28" s="13"/>
      <c r="C28" s="34">
        <v>0.7</v>
      </c>
      <c r="D28" s="13" t="s">
        <v>91</v>
      </c>
      <c r="E28" s="48" t="s">
        <v>282</v>
      </c>
      <c r="G28" s="47" t="s">
        <v>137</v>
      </c>
      <c r="H28" s="35">
        <f>H26/(4.44*C7*H22*C16)</f>
        <v>5.1569646954589627</v>
      </c>
      <c r="I28" s="35"/>
      <c r="J28" s="94" t="s">
        <v>328</v>
      </c>
      <c r="K28" s="94"/>
      <c r="L28" s="100"/>
      <c r="M28" s="100"/>
    </row>
    <row r="29" spans="1:13">
      <c r="A29" s="13"/>
      <c r="B29" s="13"/>
      <c r="C29" s="34"/>
      <c r="D29" s="13"/>
      <c r="E29" s="48"/>
      <c r="G29" s="47"/>
      <c r="H29" s="13"/>
      <c r="I29" s="13"/>
      <c r="J29" s="80"/>
      <c r="K29" s="80"/>
      <c r="L29" s="100"/>
      <c r="M29" s="100"/>
    </row>
    <row r="30" spans="1:13">
      <c r="A30" s="13" t="s">
        <v>123</v>
      </c>
      <c r="B30" s="13"/>
      <c r="C30" s="34">
        <v>0.95</v>
      </c>
      <c r="D30" s="13"/>
      <c r="E30" s="52" t="s">
        <v>285</v>
      </c>
      <c r="G30" s="47" t="s">
        <v>61</v>
      </c>
      <c r="H30" s="13">
        <v>0.85</v>
      </c>
      <c r="I30" s="13"/>
      <c r="J30" s="80" t="s">
        <v>309</v>
      </c>
      <c r="K30" s="80"/>
      <c r="L30" s="100"/>
      <c r="M30" s="100"/>
    </row>
    <row r="31" spans="1:13">
      <c r="A31" s="13"/>
      <c r="B31" s="13"/>
      <c r="C31" s="13"/>
      <c r="D31" s="13"/>
      <c r="E31" s="48"/>
      <c r="G31" s="3" t="s">
        <v>259</v>
      </c>
      <c r="H31" s="1">
        <f>(H2*1000/(SQRT(3)*H27*C5))</f>
        <v>398.04729899446016</v>
      </c>
      <c r="I31" s="13" t="s">
        <v>50</v>
      </c>
      <c r="J31" s="80" t="s">
        <v>258</v>
      </c>
      <c r="K31" s="80"/>
      <c r="L31" s="100"/>
      <c r="M31" s="100"/>
    </row>
    <row r="32" spans="1:13">
      <c r="G32" s="47" t="s">
        <v>260</v>
      </c>
      <c r="H32" s="13">
        <f>H31</f>
        <v>398.04729899446016</v>
      </c>
      <c r="I32" s="13" t="s">
        <v>50</v>
      </c>
      <c r="J32" s="80" t="s">
        <v>310</v>
      </c>
      <c r="K32" s="80"/>
      <c r="L32" s="100"/>
      <c r="M32" s="100"/>
    </row>
    <row r="33" spans="1:14">
      <c r="G33" s="47" t="s">
        <v>261</v>
      </c>
      <c r="H33" s="13">
        <f>H32/C20</f>
        <v>199.02364949723008</v>
      </c>
      <c r="I33" s="13" t="s">
        <v>50</v>
      </c>
      <c r="J33" s="80" t="s">
        <v>267</v>
      </c>
      <c r="K33" s="80"/>
      <c r="L33" s="100"/>
      <c r="M33" s="100"/>
    </row>
    <row r="34" spans="1:14">
      <c r="G34" s="47"/>
      <c r="H34" s="13">
        <f>H31/SQRT(2)</f>
        <v>281.46194435197197</v>
      </c>
      <c r="I34" s="13"/>
      <c r="J34" s="80"/>
      <c r="K34" s="80"/>
      <c r="L34" s="100"/>
      <c r="M34" s="100"/>
    </row>
    <row r="35" spans="1:14">
      <c r="G35" s="47" t="s">
        <v>263</v>
      </c>
      <c r="H35" s="13">
        <f>C18/(2*C10)</f>
        <v>2</v>
      </c>
      <c r="I35" s="13"/>
      <c r="J35" s="80" t="s">
        <v>303</v>
      </c>
      <c r="K35" s="80"/>
      <c r="L35" s="100"/>
      <c r="M35" s="100"/>
    </row>
    <row r="36" spans="1:14">
      <c r="G36" s="47"/>
      <c r="H36" s="13"/>
      <c r="I36" s="13"/>
      <c r="J36" s="80"/>
      <c r="K36" s="80"/>
      <c r="L36" s="100"/>
      <c r="M36" s="100"/>
    </row>
    <row r="37" spans="1:14">
      <c r="G37" s="3" t="s">
        <v>265</v>
      </c>
      <c r="H37" s="1">
        <f>(H28*C20)/H35</f>
        <v>5.1569646954589627</v>
      </c>
      <c r="I37" s="13"/>
      <c r="J37" s="80" t="s">
        <v>266</v>
      </c>
      <c r="K37" s="80"/>
      <c r="L37" s="100"/>
      <c r="M37" s="100"/>
    </row>
    <row r="38" spans="1:14">
      <c r="B38" t="s">
        <v>50</v>
      </c>
      <c r="C38">
        <f>2*C10*H28*H32/(C20*PI()*H15)</f>
        <v>17954.587559263895</v>
      </c>
    </row>
    <row r="40" spans="1:14" ht="15" thickBot="1"/>
    <row r="41" spans="1:14">
      <c r="G41" s="37" t="s">
        <v>273</v>
      </c>
      <c r="H41" s="37">
        <f>H2/(3*H26*10^-3)</f>
        <v>358.24256909501418</v>
      </c>
      <c r="I41" s="37" t="s">
        <v>50</v>
      </c>
      <c r="J41" s="60" t="s">
        <v>274</v>
      </c>
      <c r="K41" s="61"/>
      <c r="L41" s="82" t="s">
        <v>284</v>
      </c>
      <c r="M41" s="83"/>
      <c r="N41" s="84"/>
    </row>
    <row r="42" spans="1:14">
      <c r="A42" t="s">
        <v>316</v>
      </c>
      <c r="C42">
        <v>2.1000000000000001E-2</v>
      </c>
      <c r="D42" t="s">
        <v>34</v>
      </c>
      <c r="K42" s="38"/>
      <c r="L42" s="85"/>
      <c r="M42" s="86"/>
      <c r="N42" s="87"/>
    </row>
    <row r="43" spans="1:14">
      <c r="A43" s="7" t="s">
        <v>321</v>
      </c>
      <c r="C43">
        <v>1.4999999999999999E-2</v>
      </c>
      <c r="D43" t="s">
        <v>34</v>
      </c>
      <c r="E43" t="s">
        <v>301</v>
      </c>
      <c r="G43" t="s">
        <v>277</v>
      </c>
      <c r="H43">
        <f>H41/C25</f>
        <v>59.707094849169032</v>
      </c>
      <c r="I43" t="s">
        <v>278</v>
      </c>
      <c r="K43" s="38"/>
      <c r="L43" s="85"/>
      <c r="M43" s="86"/>
      <c r="N43" s="87"/>
    </row>
    <row r="44" spans="1:14">
      <c r="A44" s="7" t="s">
        <v>322</v>
      </c>
      <c r="K44" s="38"/>
      <c r="L44" s="85"/>
      <c r="M44" s="86"/>
      <c r="N44" s="87"/>
    </row>
    <row r="45" spans="1:14">
      <c r="A45" t="s">
        <v>325</v>
      </c>
      <c r="C45">
        <v>0.4</v>
      </c>
      <c r="G45" t="s">
        <v>279</v>
      </c>
      <c r="H45">
        <f>(SIN(PI()*C17/C18))*H5/2</f>
        <v>1.9102104903766153E-3</v>
      </c>
      <c r="I45" t="s">
        <v>229</v>
      </c>
      <c r="K45" s="38"/>
      <c r="L45" s="85"/>
      <c r="M45" s="86"/>
      <c r="N45" s="87"/>
    </row>
    <row r="46" spans="1:14">
      <c r="G46" t="s">
        <v>286</v>
      </c>
      <c r="H46">
        <f>H5/(2*C28*H16*C30)</f>
        <v>1.9341238638405922E-2</v>
      </c>
      <c r="I46" t="s">
        <v>288</v>
      </c>
      <c r="J46" s="66" t="s">
        <v>287</v>
      </c>
      <c r="K46" s="67"/>
      <c r="L46" s="85"/>
      <c r="M46" s="86"/>
      <c r="N46" s="87"/>
    </row>
    <row r="47" spans="1:14">
      <c r="H47">
        <f>H46*1000</f>
        <v>19.341238638405923</v>
      </c>
      <c r="I47" t="s">
        <v>113</v>
      </c>
      <c r="J47" s="66" t="s">
        <v>287</v>
      </c>
      <c r="K47" s="67"/>
      <c r="L47" s="85"/>
      <c r="M47" s="86"/>
      <c r="N47" s="87"/>
    </row>
    <row r="48" spans="1:14">
      <c r="G48" t="s">
        <v>302</v>
      </c>
      <c r="H48">
        <f>H45/(H16*C30*C27)</f>
        <v>9.0192329238935939E-3</v>
      </c>
      <c r="I48" t="s">
        <v>34</v>
      </c>
      <c r="K48" s="38"/>
      <c r="L48" s="85"/>
      <c r="M48" s="86"/>
      <c r="N48" s="87"/>
    </row>
    <row r="49" spans="1:14">
      <c r="G49" t="s">
        <v>324</v>
      </c>
      <c r="H49">
        <f>(1-H50)*H51*C43</f>
        <v>1.1373078981799787E-4</v>
      </c>
      <c r="I49" t="s">
        <v>228</v>
      </c>
      <c r="L49" s="85"/>
      <c r="M49" s="86"/>
      <c r="N49" s="87"/>
    </row>
    <row r="50" spans="1:14">
      <c r="G50" t="s">
        <v>242</v>
      </c>
      <c r="H50">
        <f>C42/H51</f>
        <v>0.73472679705071298</v>
      </c>
      <c r="L50" s="85"/>
      <c r="M50" s="86"/>
      <c r="N50" s="87"/>
    </row>
    <row r="51" spans="1:14">
      <c r="G51" t="s">
        <v>315</v>
      </c>
      <c r="H51">
        <f>H15*PI()/C18</f>
        <v>2.8582052654533192E-2</v>
      </c>
      <c r="I51" t="s">
        <v>34</v>
      </c>
      <c r="K51" s="38" t="s">
        <v>323</v>
      </c>
      <c r="L51" s="85"/>
      <c r="M51" s="86"/>
      <c r="N51" s="87"/>
    </row>
    <row r="52" spans="1:14">
      <c r="K52" s="38"/>
      <c r="L52" s="85"/>
      <c r="M52" s="86"/>
      <c r="N52" s="87"/>
    </row>
    <row r="53" spans="1:14">
      <c r="G53" t="s">
        <v>326</v>
      </c>
      <c r="H53">
        <f>C15*H51/(C45*H49*1000000)</f>
        <v>25.131323452754298</v>
      </c>
      <c r="I53" t="s">
        <v>151</v>
      </c>
      <c r="K53" s="38"/>
      <c r="L53" s="85"/>
      <c r="M53" s="86"/>
      <c r="N53" s="87"/>
    </row>
    <row r="54" spans="1:14">
      <c r="A54" t="s">
        <v>317</v>
      </c>
      <c r="B54" t="s">
        <v>318</v>
      </c>
      <c r="C54">
        <f>C14/H50</f>
        <v>0.81663007584380543</v>
      </c>
      <c r="D54" t="s">
        <v>91</v>
      </c>
      <c r="K54" s="38"/>
      <c r="L54" s="85"/>
      <c r="M54" s="86"/>
      <c r="N54" s="87"/>
    </row>
    <row r="55" spans="1:14" ht="15" thickBot="1">
      <c r="G55" s="39"/>
      <c r="H55" s="39"/>
      <c r="I55" s="39"/>
      <c r="J55" s="39"/>
      <c r="K55" s="40"/>
      <c r="L55" s="88"/>
      <c r="M55" s="89"/>
      <c r="N55" s="90"/>
    </row>
    <row r="56" spans="1:14">
      <c r="B56" t="s">
        <v>319</v>
      </c>
      <c r="C56">
        <f>C10*H32*H26</f>
        <v>19890.260631001369</v>
      </c>
    </row>
    <row r="57" spans="1:14">
      <c r="B57" t="s">
        <v>320</v>
      </c>
      <c r="C57">
        <f>C6*PI()/30</f>
        <v>241.66666666666663</v>
      </c>
      <c r="D57" t="s">
        <v>13</v>
      </c>
    </row>
    <row r="58" spans="1:14">
      <c r="B58" t="s">
        <v>91</v>
      </c>
      <c r="C58">
        <f>C56/C57</f>
        <v>82.304526748971199</v>
      </c>
      <c r="D58" t="s">
        <v>12</v>
      </c>
      <c r="G58" t="s">
        <v>334</v>
      </c>
      <c r="H58">
        <v>180</v>
      </c>
    </row>
    <row r="59" spans="1:14">
      <c r="G59" t="s">
        <v>335</v>
      </c>
      <c r="H59">
        <v>60</v>
      </c>
    </row>
    <row r="60" spans="1:14">
      <c r="G60" t="s">
        <v>336</v>
      </c>
      <c r="H60">
        <v>97</v>
      </c>
      <c r="I60">
        <v>129</v>
      </c>
    </row>
    <row r="62" spans="1:14">
      <c r="G62" s="80"/>
      <c r="H62" s="80"/>
    </row>
  </sheetData>
  <mergeCells count="44">
    <mergeCell ref="L41:N55"/>
    <mergeCell ref="J47:K47"/>
    <mergeCell ref="J37:K37"/>
    <mergeCell ref="J30:K30"/>
    <mergeCell ref="J32:K32"/>
    <mergeCell ref="J33:K33"/>
    <mergeCell ref="L20:M22"/>
    <mergeCell ref="L26:M37"/>
    <mergeCell ref="J22:K22"/>
    <mergeCell ref="J23:K23"/>
    <mergeCell ref="J24:K24"/>
    <mergeCell ref="J25:K25"/>
    <mergeCell ref="J6:K6"/>
    <mergeCell ref="J9:K9"/>
    <mergeCell ref="J8:K8"/>
    <mergeCell ref="J10:K10"/>
    <mergeCell ref="A1:E1"/>
    <mergeCell ref="G1:K1"/>
    <mergeCell ref="J2:K2"/>
    <mergeCell ref="J5:K5"/>
    <mergeCell ref="F1:F1048576"/>
    <mergeCell ref="J11:K11"/>
    <mergeCell ref="J36:K36"/>
    <mergeCell ref="J31:K31"/>
    <mergeCell ref="G62:H62"/>
    <mergeCell ref="J7:K7"/>
    <mergeCell ref="J29:K29"/>
    <mergeCell ref="J17:K17"/>
    <mergeCell ref="J12:K12"/>
    <mergeCell ref="J14:K14"/>
    <mergeCell ref="J27:K27"/>
    <mergeCell ref="J13:K13"/>
    <mergeCell ref="J15:K15"/>
    <mergeCell ref="J19:K19"/>
    <mergeCell ref="J20:K20"/>
    <mergeCell ref="J21:K21"/>
    <mergeCell ref="J34:K34"/>
    <mergeCell ref="J35:K35"/>
    <mergeCell ref="J46:K46"/>
    <mergeCell ref="J16:K16"/>
    <mergeCell ref="J26:K26"/>
    <mergeCell ref="J28:K28"/>
    <mergeCell ref="J18:K18"/>
    <mergeCell ref="J41:K4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12D1-DC3F-4244-A09F-185CA11A9C96}">
  <dimension ref="A1:N62"/>
  <sheetViews>
    <sheetView zoomScale="63" zoomScaleNormal="106" workbookViewId="0">
      <selection activeCell="C18" sqref="C18"/>
    </sheetView>
  </sheetViews>
  <sheetFormatPr defaultRowHeight="14.4"/>
  <cols>
    <col min="1" max="1" width="28.5546875" customWidth="1"/>
    <col min="2" max="2" width="22.5546875" customWidth="1"/>
    <col min="3" max="3" width="10.33203125" bestFit="1" customWidth="1"/>
    <col min="4" max="4" width="20.77734375" customWidth="1"/>
    <col min="5" max="5" width="46.6640625" customWidth="1"/>
    <col min="6" max="6" width="8.88671875" style="62"/>
    <col min="7" max="7" width="23.21875" customWidth="1"/>
    <col min="8" max="8" width="17.88671875" customWidth="1"/>
    <col min="9" max="9" width="34.109375" customWidth="1"/>
    <col min="11" max="11" width="42.88671875" customWidth="1"/>
    <col min="13" max="13" width="11.6640625" customWidth="1"/>
  </cols>
  <sheetData>
    <row r="1" spans="1:11">
      <c r="A1" s="62" t="s">
        <v>209</v>
      </c>
      <c r="B1" s="62"/>
      <c r="C1" s="62"/>
      <c r="D1" s="62"/>
      <c r="E1" s="62"/>
      <c r="G1" s="62" t="s">
        <v>210</v>
      </c>
      <c r="H1" s="62"/>
      <c r="I1" s="62"/>
      <c r="J1" s="62"/>
      <c r="K1" s="62"/>
    </row>
    <row r="2" spans="1:11">
      <c r="A2" s="13" t="s">
        <v>212</v>
      </c>
      <c r="B2" s="13" t="s">
        <v>231</v>
      </c>
      <c r="C2" s="34">
        <v>14500</v>
      </c>
      <c r="D2" s="13" t="s">
        <v>17</v>
      </c>
      <c r="E2" s="48"/>
      <c r="G2" s="47" t="s">
        <v>211</v>
      </c>
      <c r="H2" s="13">
        <f>C2/(C4*C5*1000)</f>
        <v>17.901234567901234</v>
      </c>
      <c r="I2" s="13" t="s">
        <v>222</v>
      </c>
      <c r="J2" s="95" t="s">
        <v>225</v>
      </c>
      <c r="K2" s="95"/>
    </row>
    <row r="3" spans="1:11">
      <c r="A3" s="13" t="s">
        <v>11</v>
      </c>
      <c r="B3" s="13" t="s">
        <v>91</v>
      </c>
      <c r="C3" s="34">
        <v>60</v>
      </c>
      <c r="D3" s="13" t="s">
        <v>12</v>
      </c>
      <c r="E3" s="48"/>
      <c r="G3" s="47"/>
      <c r="H3" s="13"/>
      <c r="I3" s="13"/>
      <c r="J3" s="20"/>
      <c r="K3" s="20"/>
    </row>
    <row r="4" spans="1:11">
      <c r="A4" s="13" t="s">
        <v>220</v>
      </c>
      <c r="B4" s="13" t="s">
        <v>233</v>
      </c>
      <c r="C4" s="34">
        <v>0.9</v>
      </c>
      <c r="D4" s="13"/>
      <c r="E4" s="48"/>
      <c r="K4" s="20"/>
    </row>
    <row r="5" spans="1:11" ht="46.8" customHeight="1">
      <c r="A5" s="13" t="s">
        <v>221</v>
      </c>
      <c r="B5" s="13" t="s">
        <v>234</v>
      </c>
      <c r="C5" s="34">
        <v>0.9</v>
      </c>
      <c r="D5" s="13"/>
      <c r="E5" s="48"/>
      <c r="G5" s="47" t="s">
        <v>223</v>
      </c>
      <c r="H5" s="13">
        <f>(C13*H7)/C16</f>
        <v>5.2225828670133291E-3</v>
      </c>
      <c r="I5" s="13" t="s">
        <v>229</v>
      </c>
      <c r="J5" s="96" t="s">
        <v>240</v>
      </c>
      <c r="K5" s="96"/>
    </row>
    <row r="6" spans="1:11">
      <c r="A6" s="13" t="s">
        <v>213</v>
      </c>
      <c r="B6" s="13" t="s">
        <v>235</v>
      </c>
      <c r="C6" s="34">
        <f>(C2/C3)*30/(PI())</f>
        <v>2307.7466748324823</v>
      </c>
      <c r="D6" s="13" t="s">
        <v>214</v>
      </c>
      <c r="E6" s="48"/>
      <c r="G6" s="47"/>
      <c r="H6" s="13"/>
      <c r="I6" s="13"/>
      <c r="J6" s="95"/>
      <c r="K6" s="95"/>
    </row>
    <row r="7" spans="1:11">
      <c r="A7" s="13" t="s">
        <v>215</v>
      </c>
      <c r="B7" s="13" t="s">
        <v>24</v>
      </c>
      <c r="C7" s="34">
        <f>C6*C16/120</f>
        <v>115.38733374162412</v>
      </c>
      <c r="D7" s="13" t="s">
        <v>26</v>
      </c>
      <c r="E7" s="48"/>
      <c r="G7" s="47" t="s">
        <v>50</v>
      </c>
      <c r="H7" s="13">
        <f>PI()*H15*H16</f>
        <v>5.2225828670133291E-2</v>
      </c>
      <c r="I7" s="13" t="s">
        <v>228</v>
      </c>
      <c r="J7" s="95" t="s">
        <v>224</v>
      </c>
      <c r="K7" s="95"/>
    </row>
    <row r="8" spans="1:11">
      <c r="A8" s="13" t="s">
        <v>38</v>
      </c>
      <c r="B8" s="13" t="s">
        <v>236</v>
      </c>
      <c r="C8" s="34">
        <v>60</v>
      </c>
      <c r="D8" s="13" t="s">
        <v>40</v>
      </c>
      <c r="E8" s="48"/>
      <c r="G8" s="47"/>
      <c r="H8" s="13"/>
      <c r="I8" s="13"/>
      <c r="J8" s="80"/>
      <c r="K8" s="80"/>
    </row>
    <row r="9" spans="1:11">
      <c r="A9" s="13" t="s">
        <v>246</v>
      </c>
      <c r="B9" s="13" t="s">
        <v>245</v>
      </c>
      <c r="C9" s="42">
        <v>2.1</v>
      </c>
      <c r="D9" s="13"/>
      <c r="E9" s="48"/>
      <c r="G9" s="47" t="s">
        <v>227</v>
      </c>
      <c r="H9" s="13">
        <f>C6/60</f>
        <v>38.462444580541373</v>
      </c>
      <c r="I9" s="13" t="s">
        <v>76</v>
      </c>
      <c r="J9" s="95" t="s">
        <v>226</v>
      </c>
      <c r="K9" s="95"/>
    </row>
    <row r="10" spans="1:11">
      <c r="A10" s="13" t="s">
        <v>264</v>
      </c>
      <c r="B10" s="13"/>
      <c r="C10" s="34">
        <v>3</v>
      </c>
      <c r="D10" s="13"/>
      <c r="E10" s="48"/>
      <c r="G10" s="47"/>
      <c r="H10" s="13"/>
      <c r="I10" s="13"/>
      <c r="J10" s="80"/>
      <c r="K10" s="80"/>
    </row>
    <row r="11" spans="1:11" ht="42" customHeight="1">
      <c r="A11" s="13" t="s">
        <v>338</v>
      </c>
      <c r="B11" s="13" t="s">
        <v>339</v>
      </c>
      <c r="C11" s="49">
        <v>25</v>
      </c>
      <c r="D11" s="35" t="s">
        <v>113</v>
      </c>
      <c r="E11" s="48"/>
      <c r="G11" s="47" t="s">
        <v>72</v>
      </c>
      <c r="H11" s="13">
        <f>(1.11*(PI()^2)*C13*C14*C15*10^-3)</f>
        <v>227.69414223818782</v>
      </c>
      <c r="I11" s="13"/>
      <c r="J11" s="55" t="s">
        <v>230</v>
      </c>
      <c r="K11" s="55"/>
    </row>
    <row r="12" spans="1:11">
      <c r="A12" s="13" t="s">
        <v>340</v>
      </c>
      <c r="B12" s="13" t="s">
        <v>168</v>
      </c>
      <c r="C12" s="34">
        <v>1.3</v>
      </c>
      <c r="D12" s="13" t="s">
        <v>91</v>
      </c>
      <c r="E12" s="48"/>
      <c r="G12" s="47" t="s">
        <v>90</v>
      </c>
      <c r="H12" s="13">
        <f>2*C10*H28*H32/(PI()*H15)</f>
        <v>26412.69843765788</v>
      </c>
      <c r="I12" s="13"/>
      <c r="J12" s="80" t="s">
        <v>327</v>
      </c>
      <c r="K12" s="80"/>
    </row>
    <row r="13" spans="1:11">
      <c r="A13" s="13" t="s">
        <v>217</v>
      </c>
      <c r="B13" s="13" t="s">
        <v>89</v>
      </c>
      <c r="C13" s="34">
        <v>0.6</v>
      </c>
      <c r="D13" s="13" t="s">
        <v>219</v>
      </c>
      <c r="E13" s="48"/>
      <c r="G13" s="47" t="s">
        <v>105</v>
      </c>
      <c r="H13" s="13">
        <f>H2/(H11*H9)</f>
        <v>2.0440628348632863E-3</v>
      </c>
      <c r="I13" s="13" t="s">
        <v>243</v>
      </c>
      <c r="J13" s="80" t="s">
        <v>238</v>
      </c>
      <c r="K13" s="80"/>
    </row>
    <row r="14" spans="1:11">
      <c r="A14" s="13" t="s">
        <v>218</v>
      </c>
      <c r="B14" s="13" t="s">
        <v>90</v>
      </c>
      <c r="C14" s="34">
        <v>40000</v>
      </c>
      <c r="D14" s="13" t="s">
        <v>194</v>
      </c>
      <c r="E14" s="48"/>
      <c r="G14" s="47"/>
      <c r="H14" s="13"/>
      <c r="I14" s="13"/>
      <c r="J14" s="80"/>
      <c r="K14" s="80"/>
    </row>
    <row r="15" spans="1:11" ht="28.8">
      <c r="A15" s="13" t="s">
        <v>88</v>
      </c>
      <c r="B15" s="13" t="s">
        <v>87</v>
      </c>
      <c r="C15" s="34">
        <f>'Winding Factor Sheet'!I2</f>
        <v>0.86599999999999999</v>
      </c>
      <c r="D15" s="13"/>
      <c r="E15" s="50" t="s">
        <v>333</v>
      </c>
      <c r="G15" s="53" t="s">
        <v>239</v>
      </c>
      <c r="H15" s="33">
        <f>((H13*C16)/(C9*PI()))^(1/3)</f>
        <v>0.12295856186490337</v>
      </c>
      <c r="I15" s="13" t="s">
        <v>34</v>
      </c>
      <c r="J15" s="80">
        <f>H15*1000</f>
        <v>122.95856186490336</v>
      </c>
      <c r="K15" s="80"/>
    </row>
    <row r="16" spans="1:11">
      <c r="A16" s="1" t="s">
        <v>216</v>
      </c>
      <c r="B16" s="1" t="s">
        <v>231</v>
      </c>
      <c r="C16" s="1">
        <v>6</v>
      </c>
      <c r="D16" s="13"/>
      <c r="E16" s="51" t="s">
        <v>244</v>
      </c>
      <c r="G16" s="53" t="s">
        <v>241</v>
      </c>
      <c r="H16" s="33">
        <f>C9*H18</f>
        <v>0.13520000012776129</v>
      </c>
      <c r="I16" s="13" t="s">
        <v>34</v>
      </c>
      <c r="J16" s="80">
        <f>H16*1000</f>
        <v>135.20000012776129</v>
      </c>
      <c r="K16" s="80"/>
    </row>
    <row r="17" spans="1:13">
      <c r="A17" s="1" t="s">
        <v>237</v>
      </c>
      <c r="B17" s="1" t="s">
        <v>32</v>
      </c>
      <c r="C17" s="1">
        <v>36</v>
      </c>
      <c r="D17" s="13"/>
      <c r="E17" s="48" t="s">
        <v>249</v>
      </c>
      <c r="G17" s="53" t="s">
        <v>232</v>
      </c>
      <c r="H17" s="33">
        <f>H16/H15</f>
        <v>1.0995574287564276</v>
      </c>
      <c r="I17" s="13"/>
      <c r="J17" s="91" t="s">
        <v>248</v>
      </c>
      <c r="K17" s="92"/>
    </row>
    <row r="18" spans="1:13">
      <c r="A18" s="13"/>
      <c r="B18" s="13"/>
      <c r="C18" s="34"/>
      <c r="D18" s="13"/>
      <c r="E18" s="48"/>
      <c r="G18" s="47" t="s">
        <v>242</v>
      </c>
      <c r="H18" s="13">
        <f>PI()*H15/C16</f>
        <v>6.4380952441791081E-2</v>
      </c>
      <c r="I18" s="13" t="s">
        <v>34</v>
      </c>
      <c r="J18" s="80" t="s">
        <v>247</v>
      </c>
      <c r="K18" s="80"/>
    </row>
    <row r="19" spans="1:13" ht="39" customHeight="1">
      <c r="A19" s="13" t="s">
        <v>262</v>
      </c>
      <c r="B19" s="13"/>
      <c r="C19" s="34">
        <v>1</v>
      </c>
      <c r="D19" s="13"/>
      <c r="E19" s="48"/>
      <c r="G19" s="47"/>
      <c r="H19" s="13"/>
      <c r="I19" s="13"/>
      <c r="J19" s="91"/>
      <c r="K19" s="92"/>
    </row>
    <row r="20" spans="1:13">
      <c r="A20" s="13" t="s">
        <v>270</v>
      </c>
      <c r="B20" s="13"/>
      <c r="C20" s="34">
        <v>0.7</v>
      </c>
      <c r="D20" s="13"/>
      <c r="E20" s="48"/>
      <c r="G20" s="47" t="s">
        <v>337</v>
      </c>
      <c r="H20" s="13">
        <f>J16</f>
        <v>135.20000012776129</v>
      </c>
      <c r="I20" s="45" t="s">
        <v>113</v>
      </c>
      <c r="J20" s="97" t="s">
        <v>345</v>
      </c>
      <c r="K20" s="98"/>
      <c r="L20" s="99" t="s">
        <v>343</v>
      </c>
      <c r="M20" s="99"/>
    </row>
    <row r="21" spans="1:13">
      <c r="A21" s="13"/>
      <c r="B21" s="13"/>
      <c r="C21" s="34"/>
      <c r="D21" s="13"/>
      <c r="E21" s="48"/>
      <c r="G21" s="47" t="s">
        <v>313</v>
      </c>
      <c r="H21" s="13">
        <f>(C11*H20/1000000)</f>
        <v>3.380000003194032E-3</v>
      </c>
      <c r="I21" s="45" t="s">
        <v>228</v>
      </c>
      <c r="J21" s="97" t="s">
        <v>341</v>
      </c>
      <c r="K21" s="98"/>
      <c r="L21" s="99"/>
      <c r="M21" s="99"/>
    </row>
    <row r="22" spans="1:13">
      <c r="A22" s="13" t="s">
        <v>271</v>
      </c>
      <c r="B22" s="13"/>
      <c r="C22" s="34">
        <v>60</v>
      </c>
      <c r="D22" s="13" t="s">
        <v>272</v>
      </c>
      <c r="E22" s="48"/>
      <c r="G22" s="47" t="s">
        <v>314</v>
      </c>
      <c r="H22" s="13">
        <f>C12*H21*2</f>
        <v>8.7880000083044828E-3</v>
      </c>
      <c r="I22" s="45" t="s">
        <v>229</v>
      </c>
      <c r="J22" s="97" t="s">
        <v>342</v>
      </c>
      <c r="K22" s="98"/>
      <c r="L22" s="99"/>
      <c r="M22" s="99"/>
    </row>
    <row r="23" spans="1:13">
      <c r="A23" s="13"/>
      <c r="B23" s="13"/>
      <c r="C23" s="34"/>
      <c r="D23" s="13"/>
      <c r="E23" s="48"/>
      <c r="G23" s="46"/>
      <c r="H23" s="44"/>
      <c r="I23" s="13"/>
      <c r="J23" s="91"/>
      <c r="K23" s="92"/>
    </row>
    <row r="24" spans="1:13">
      <c r="A24" s="13" t="s">
        <v>275</v>
      </c>
      <c r="B24" s="13"/>
      <c r="C24" s="34">
        <v>6</v>
      </c>
      <c r="D24" s="13" t="s">
        <v>151</v>
      </c>
      <c r="E24" s="48" t="s">
        <v>276</v>
      </c>
      <c r="G24" s="46"/>
      <c r="H24" s="44"/>
      <c r="I24" s="13"/>
      <c r="J24" s="91"/>
      <c r="K24" s="92"/>
    </row>
    <row r="25" spans="1:13">
      <c r="A25" s="13"/>
      <c r="B25" s="13"/>
      <c r="C25" s="34"/>
      <c r="D25" s="13"/>
      <c r="E25" s="48"/>
      <c r="G25" s="46"/>
      <c r="H25" s="44"/>
      <c r="I25" s="13"/>
      <c r="J25" s="91"/>
      <c r="K25" s="92"/>
    </row>
    <row r="26" spans="1:13">
      <c r="A26" s="13" t="s">
        <v>280</v>
      </c>
      <c r="B26" s="13"/>
      <c r="C26" s="34">
        <v>1.3</v>
      </c>
      <c r="D26" s="13" t="s">
        <v>91</v>
      </c>
      <c r="E26" s="48" t="s">
        <v>283</v>
      </c>
      <c r="G26" s="47" t="s">
        <v>257</v>
      </c>
      <c r="H26" s="13">
        <f>H27/SQRT(3)</f>
        <v>20.820662813657016</v>
      </c>
      <c r="I26" s="13" t="s">
        <v>307</v>
      </c>
      <c r="J26" s="93" t="s">
        <v>268</v>
      </c>
      <c r="K26" s="93"/>
      <c r="L26" s="100" t="s">
        <v>344</v>
      </c>
      <c r="M26" s="100"/>
    </row>
    <row r="27" spans="1:13" ht="45.6" customHeight="1">
      <c r="A27" s="13" t="s">
        <v>281</v>
      </c>
      <c r="B27" s="13"/>
      <c r="C27" s="34">
        <v>0.7</v>
      </c>
      <c r="D27" s="13" t="s">
        <v>91</v>
      </c>
      <c r="E27" s="48" t="s">
        <v>282</v>
      </c>
      <c r="G27" s="47" t="s">
        <v>256</v>
      </c>
      <c r="H27" s="13">
        <f>(C8*H30)/SQRT(2)</f>
        <v>36.062445840513924</v>
      </c>
      <c r="I27" s="13" t="s">
        <v>307</v>
      </c>
      <c r="J27" s="80"/>
      <c r="K27" s="80"/>
      <c r="L27" s="100"/>
      <c r="M27" s="100"/>
    </row>
    <row r="28" spans="1:13">
      <c r="A28" s="13"/>
      <c r="B28" s="13"/>
      <c r="C28" s="34"/>
      <c r="D28" s="13"/>
      <c r="E28" s="48"/>
      <c r="G28" s="47" t="s">
        <v>137</v>
      </c>
      <c r="H28" s="35">
        <f>H26/(4.44*C7*H22*C15)</f>
        <v>5.340052194393512</v>
      </c>
      <c r="I28" s="35"/>
      <c r="J28" s="94" t="s">
        <v>328</v>
      </c>
      <c r="K28" s="94"/>
      <c r="L28" s="100"/>
      <c r="M28" s="100"/>
    </row>
    <row r="29" spans="1:13">
      <c r="A29" s="13" t="s">
        <v>123</v>
      </c>
      <c r="B29" s="13"/>
      <c r="C29" s="34">
        <v>0.95</v>
      </c>
      <c r="D29" s="13"/>
      <c r="E29" s="52" t="s">
        <v>285</v>
      </c>
      <c r="G29" s="47"/>
      <c r="H29" s="13"/>
      <c r="I29" s="13"/>
      <c r="J29" s="80"/>
      <c r="K29" s="80"/>
      <c r="L29" s="100"/>
      <c r="M29" s="100"/>
    </row>
    <row r="30" spans="1:13">
      <c r="A30" s="13"/>
      <c r="B30" s="13"/>
      <c r="C30" s="13"/>
      <c r="D30" s="13"/>
      <c r="E30" s="48"/>
      <c r="G30" s="47" t="s">
        <v>61</v>
      </c>
      <c r="H30" s="13">
        <v>0.85</v>
      </c>
      <c r="I30" s="13"/>
      <c r="J30" s="80" t="s">
        <v>309</v>
      </c>
      <c r="K30" s="80"/>
      <c r="L30" s="100"/>
      <c r="M30" s="100"/>
    </row>
    <row r="31" spans="1:13">
      <c r="G31" s="47" t="s">
        <v>259</v>
      </c>
      <c r="H31" s="13">
        <f>(H2*1000/(SQRT(3)*H27*C5))</f>
        <v>318.43783919556807</v>
      </c>
      <c r="I31" s="13" t="s">
        <v>50</v>
      </c>
      <c r="J31" s="80" t="s">
        <v>258</v>
      </c>
      <c r="K31" s="80"/>
      <c r="L31" s="100"/>
      <c r="M31" s="100"/>
    </row>
    <row r="32" spans="1:13">
      <c r="G32" s="47" t="s">
        <v>260</v>
      </c>
      <c r="H32" s="13">
        <f>H31</f>
        <v>318.43783919556807</v>
      </c>
      <c r="I32" s="13" t="s">
        <v>50</v>
      </c>
      <c r="J32" s="80" t="s">
        <v>310</v>
      </c>
      <c r="K32" s="80"/>
      <c r="L32" s="100"/>
      <c r="M32" s="100"/>
    </row>
    <row r="33" spans="1:14">
      <c r="G33" s="47" t="s">
        <v>261</v>
      </c>
      <c r="H33" s="13">
        <f>H32/C19</f>
        <v>318.43783919556807</v>
      </c>
      <c r="I33" s="13" t="s">
        <v>50</v>
      </c>
      <c r="J33" s="80" t="s">
        <v>267</v>
      </c>
      <c r="K33" s="80"/>
      <c r="L33" s="100"/>
      <c r="M33" s="100"/>
    </row>
    <row r="34" spans="1:14">
      <c r="G34" s="47"/>
      <c r="H34" s="13">
        <f>H31/SQRT(2)</f>
        <v>225.16955548157753</v>
      </c>
      <c r="I34" s="13"/>
      <c r="J34" s="80"/>
      <c r="K34" s="80"/>
      <c r="L34" s="100"/>
      <c r="M34" s="100"/>
    </row>
    <row r="35" spans="1:14">
      <c r="G35" s="47" t="s">
        <v>263</v>
      </c>
      <c r="H35" s="13">
        <f>C17/(2*C10)</f>
        <v>6</v>
      </c>
      <c r="I35" s="13"/>
      <c r="J35" s="80" t="s">
        <v>303</v>
      </c>
      <c r="K35" s="80"/>
      <c r="L35" s="100"/>
      <c r="M35" s="100"/>
    </row>
    <row r="36" spans="1:14">
      <c r="G36" s="47"/>
      <c r="H36" s="13"/>
      <c r="I36" s="13"/>
      <c r="J36" s="80"/>
      <c r="K36" s="80"/>
      <c r="L36" s="100"/>
      <c r="M36" s="100"/>
    </row>
    <row r="37" spans="1:14">
      <c r="B37" t="s">
        <v>50</v>
      </c>
      <c r="C37">
        <f>2*C10*H28*H32/(C19*PI()*H15)</f>
        <v>26412.69843765788</v>
      </c>
      <c r="G37" s="3" t="s">
        <v>265</v>
      </c>
      <c r="H37" s="1">
        <f>(H28*C19)/H35</f>
        <v>0.89000869906558533</v>
      </c>
      <c r="I37" s="13"/>
      <c r="J37" s="80" t="s">
        <v>266</v>
      </c>
      <c r="K37" s="80"/>
      <c r="L37" s="100"/>
      <c r="M37" s="100"/>
    </row>
    <row r="40" spans="1:14" ht="15" thickBot="1"/>
    <row r="41" spans="1:14">
      <c r="A41" t="s">
        <v>316</v>
      </c>
      <c r="C41">
        <v>8.9999999999999993E-3</v>
      </c>
      <c r="D41" t="s">
        <v>34</v>
      </c>
      <c r="G41" s="37" t="s">
        <v>273</v>
      </c>
      <c r="H41" s="37">
        <f>H2/(3*H26*10^-3)</f>
        <v>286.59405527601126</v>
      </c>
      <c r="I41" s="37" t="s">
        <v>50</v>
      </c>
      <c r="J41" s="60" t="s">
        <v>274</v>
      </c>
      <c r="K41" s="61"/>
      <c r="L41" s="82" t="s">
        <v>284</v>
      </c>
      <c r="M41" s="83"/>
      <c r="N41" s="84"/>
    </row>
    <row r="42" spans="1:14">
      <c r="A42" s="7" t="s">
        <v>321</v>
      </c>
      <c r="C42">
        <v>1.4999999999999999E-2</v>
      </c>
      <c r="D42" t="s">
        <v>34</v>
      </c>
      <c r="E42" t="s">
        <v>301</v>
      </c>
      <c r="K42" s="38"/>
      <c r="L42" s="85"/>
      <c r="M42" s="86"/>
      <c r="N42" s="87"/>
    </row>
    <row r="43" spans="1:14">
      <c r="A43" s="7" t="s">
        <v>322</v>
      </c>
      <c r="G43" t="s">
        <v>277</v>
      </c>
      <c r="H43">
        <f>H41/C24</f>
        <v>47.765675879335213</v>
      </c>
      <c r="I43" t="s">
        <v>278</v>
      </c>
      <c r="K43" s="38"/>
      <c r="L43" s="85"/>
      <c r="M43" s="86"/>
      <c r="N43" s="87"/>
    </row>
    <row r="44" spans="1:14">
      <c r="A44" t="s">
        <v>325</v>
      </c>
      <c r="C44">
        <v>0.4</v>
      </c>
      <c r="K44" s="38"/>
      <c r="L44" s="85"/>
      <c r="M44" s="86"/>
      <c r="N44" s="87"/>
    </row>
    <row r="45" spans="1:14">
      <c r="G45" t="s">
        <v>279</v>
      </c>
      <c r="H45">
        <f>(SIN(PI()*C16/C17))*H5/2</f>
        <v>1.3056457167533321E-3</v>
      </c>
      <c r="I45" t="s">
        <v>229</v>
      </c>
      <c r="K45" s="38"/>
      <c r="L45" s="85"/>
      <c r="M45" s="86"/>
      <c r="N45" s="87"/>
    </row>
    <row r="46" spans="1:14">
      <c r="G46" t="s">
        <v>286</v>
      </c>
      <c r="H46">
        <f>H5/(2*C27*H16*C29)</f>
        <v>2.9044038695544856E-2</v>
      </c>
      <c r="I46" t="s">
        <v>288</v>
      </c>
      <c r="J46" s="66" t="s">
        <v>287</v>
      </c>
      <c r="K46" s="67"/>
      <c r="L46" s="85"/>
      <c r="M46" s="86"/>
      <c r="N46" s="87"/>
    </row>
    <row r="47" spans="1:14">
      <c r="H47">
        <f>H46*1000</f>
        <v>29.044038695544856</v>
      </c>
      <c r="I47" t="s">
        <v>113</v>
      </c>
      <c r="J47" s="66" t="s">
        <v>287</v>
      </c>
      <c r="K47" s="67"/>
      <c r="L47" s="85"/>
      <c r="M47" s="86"/>
      <c r="N47" s="87"/>
    </row>
    <row r="48" spans="1:14">
      <c r="G48" t="s">
        <v>302</v>
      </c>
      <c r="H48">
        <f>H45/(H16*C29*C26)</f>
        <v>7.8195488795697668E-3</v>
      </c>
      <c r="I48" t="s">
        <v>34</v>
      </c>
      <c r="K48" s="38"/>
      <c r="L48" s="85"/>
      <c r="M48" s="86"/>
      <c r="N48" s="87"/>
    </row>
    <row r="49" spans="1:14">
      <c r="G49" t="s">
        <v>324</v>
      </c>
      <c r="H49">
        <f>(1-H50)*H51*C42</f>
        <v>2.5952381104477713E-5</v>
      </c>
      <c r="I49" t="s">
        <v>228</v>
      </c>
      <c r="L49" s="85"/>
      <c r="M49" s="86"/>
      <c r="N49" s="87"/>
    </row>
    <row r="50" spans="1:14">
      <c r="G50" t="s">
        <v>242</v>
      </c>
      <c r="H50">
        <f>C41/H51</f>
        <v>0.83875739565709528</v>
      </c>
      <c r="L50" s="85"/>
      <c r="M50" s="86"/>
      <c r="N50" s="87"/>
    </row>
    <row r="51" spans="1:14">
      <c r="G51" t="s">
        <v>315</v>
      </c>
      <c r="H51">
        <f>H15*PI()/C17</f>
        <v>1.0730158740298514E-2</v>
      </c>
      <c r="I51" t="s">
        <v>34</v>
      </c>
      <c r="K51" s="38" t="s">
        <v>323</v>
      </c>
      <c r="L51" s="85"/>
      <c r="M51" s="86"/>
      <c r="N51" s="87"/>
    </row>
    <row r="52" spans="1:14">
      <c r="K52" s="38"/>
      <c r="L52" s="85"/>
      <c r="M52" s="86"/>
      <c r="N52" s="87"/>
    </row>
    <row r="53" spans="1:14">
      <c r="A53" t="s">
        <v>317</v>
      </c>
      <c r="B53" t="s">
        <v>318</v>
      </c>
      <c r="C53">
        <f>C13/H50</f>
        <v>0.71534391601990088</v>
      </c>
      <c r="D53" t="s">
        <v>91</v>
      </c>
      <c r="G53" t="s">
        <v>326</v>
      </c>
      <c r="H53">
        <f>C14*H51/(C44*H49*1000000)</f>
        <v>41.345565545995996</v>
      </c>
      <c r="I53" t="s">
        <v>151</v>
      </c>
      <c r="K53" s="38"/>
      <c r="L53" s="85"/>
      <c r="M53" s="86"/>
      <c r="N53" s="87"/>
    </row>
    <row r="54" spans="1:14">
      <c r="K54" s="38"/>
      <c r="L54" s="85"/>
      <c r="M54" s="86"/>
      <c r="N54" s="87"/>
    </row>
    <row r="55" spans="1:14" ht="15" thickBot="1">
      <c r="B55" t="s">
        <v>319</v>
      </c>
      <c r="C55">
        <f>C10*H32*H26</f>
        <v>19890.260631001369</v>
      </c>
      <c r="G55" s="39"/>
      <c r="H55" s="39"/>
      <c r="I55" s="39"/>
      <c r="J55" s="39"/>
      <c r="K55" s="40"/>
      <c r="L55" s="88"/>
      <c r="M55" s="89"/>
      <c r="N55" s="90"/>
    </row>
    <row r="56" spans="1:14">
      <c r="B56" t="s">
        <v>320</v>
      </c>
      <c r="C56">
        <f>C6*PI()/30</f>
        <v>241.66666666666663</v>
      </c>
      <c r="D56" t="s">
        <v>13</v>
      </c>
    </row>
    <row r="57" spans="1:14">
      <c r="B57" t="s">
        <v>91</v>
      </c>
      <c r="C57">
        <f>C55/C56</f>
        <v>82.304526748971199</v>
      </c>
      <c r="D57" t="s">
        <v>12</v>
      </c>
    </row>
    <row r="58" spans="1:14">
      <c r="G58" t="s">
        <v>334</v>
      </c>
      <c r="H58">
        <v>180</v>
      </c>
    </row>
    <row r="59" spans="1:14">
      <c r="G59" t="s">
        <v>335</v>
      </c>
      <c r="H59">
        <v>60</v>
      </c>
    </row>
    <row r="60" spans="1:14">
      <c r="G60" t="s">
        <v>336</v>
      </c>
      <c r="H60">
        <v>97</v>
      </c>
      <c r="I60">
        <v>129</v>
      </c>
    </row>
    <row r="62" spans="1:14">
      <c r="G62" s="80"/>
      <c r="H62" s="80"/>
    </row>
  </sheetData>
  <mergeCells count="44">
    <mergeCell ref="J41:K41"/>
    <mergeCell ref="L41:N55"/>
    <mergeCell ref="J46:K46"/>
    <mergeCell ref="J47:K47"/>
    <mergeCell ref="G62:H62"/>
    <mergeCell ref="J23:K23"/>
    <mergeCell ref="J24:K24"/>
    <mergeCell ref="J25:K25"/>
    <mergeCell ref="J26:K26"/>
    <mergeCell ref="J32:K32"/>
    <mergeCell ref="L26:M37"/>
    <mergeCell ref="J27:K27"/>
    <mergeCell ref="J28:K28"/>
    <mergeCell ref="J29:K29"/>
    <mergeCell ref="J30:K30"/>
    <mergeCell ref="J31:K31"/>
    <mergeCell ref="J37:K37"/>
    <mergeCell ref="J33:K33"/>
    <mergeCell ref="J34:K34"/>
    <mergeCell ref="J35:K35"/>
    <mergeCell ref="J36:K36"/>
    <mergeCell ref="J17:K17"/>
    <mergeCell ref="J18:K18"/>
    <mergeCell ref="J19:K19"/>
    <mergeCell ref="J20:K20"/>
    <mergeCell ref="L20:M22"/>
    <mergeCell ref="J21:K21"/>
    <mergeCell ref="J22:K22"/>
    <mergeCell ref="J16:K16"/>
    <mergeCell ref="A1:E1"/>
    <mergeCell ref="F1:F1048576"/>
    <mergeCell ref="G1:K1"/>
    <mergeCell ref="J2:K2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02D9-9601-4818-954C-5BCE1EE240A5}">
  <dimension ref="A1:I15"/>
  <sheetViews>
    <sheetView workbookViewId="0">
      <selection activeCell="J14" sqref="J14"/>
    </sheetView>
  </sheetViews>
  <sheetFormatPr defaultRowHeight="14.4"/>
  <sheetData>
    <row r="1" spans="1:9" ht="15.6">
      <c r="A1" s="26"/>
      <c r="B1" s="26">
        <v>2</v>
      </c>
      <c r="C1" s="26">
        <v>4</v>
      </c>
      <c r="D1" s="26">
        <v>6</v>
      </c>
      <c r="E1" s="26">
        <v>8</v>
      </c>
      <c r="F1" s="26">
        <v>10</v>
      </c>
      <c r="G1" s="26">
        <v>12</v>
      </c>
      <c r="H1" s="27">
        <v>14</v>
      </c>
    </row>
    <row r="2" spans="1:9" ht="15.6">
      <c r="A2" s="26">
        <v>3</v>
      </c>
      <c r="B2" s="28">
        <v>0.86599999999999999</v>
      </c>
      <c r="C2" s="28">
        <v>0.86599999999999999</v>
      </c>
      <c r="D2" s="29"/>
      <c r="E2" s="28">
        <v>0.86599999999999999</v>
      </c>
      <c r="F2" s="28">
        <v>0.86599999999999999</v>
      </c>
      <c r="G2" s="29"/>
      <c r="H2" s="28">
        <v>0.86599999999999999</v>
      </c>
      <c r="I2">
        <f>INDEX(B2:H14, MATCH('Main Dimensions'!C18, A2:A15, 0), MATCH('Main Dimensions'!C17, B1:H1, 0))</f>
        <v>0.86599999999999999</v>
      </c>
    </row>
    <row r="3" spans="1:9" ht="15.6">
      <c r="A3" s="26">
        <v>6</v>
      </c>
      <c r="B3" s="30">
        <v>1</v>
      </c>
      <c r="C3" s="28">
        <v>0.86599999999999999</v>
      </c>
      <c r="D3" s="29"/>
      <c r="E3" s="28">
        <v>0.86599999999999999</v>
      </c>
      <c r="F3" s="28">
        <v>0.5</v>
      </c>
      <c r="G3" s="29"/>
      <c r="H3" s="28">
        <v>0.5</v>
      </c>
    </row>
    <row r="4" spans="1:9" ht="15.6">
      <c r="A4" s="26">
        <v>9</v>
      </c>
      <c r="B4" s="31">
        <v>0.94499999999999995</v>
      </c>
      <c r="C4" s="28">
        <v>0.61699999999999999</v>
      </c>
      <c r="D4" s="28">
        <v>0.86599999999999999</v>
      </c>
      <c r="E4" s="28">
        <v>0.94499999999999995</v>
      </c>
      <c r="F4" s="28">
        <v>0.94499999999999995</v>
      </c>
      <c r="G4" s="28">
        <v>0.86599999999999999</v>
      </c>
      <c r="H4" s="28">
        <v>0.61699999999999999</v>
      </c>
    </row>
    <row r="5" spans="1:9" ht="15.6">
      <c r="A5" s="26">
        <v>12</v>
      </c>
      <c r="B5" s="30">
        <v>0.96599999999999997</v>
      </c>
      <c r="C5" s="30">
        <v>1</v>
      </c>
      <c r="D5" s="29"/>
      <c r="E5" s="28">
        <v>0.86599999999999999</v>
      </c>
      <c r="F5" s="28">
        <v>0.96599999999999997</v>
      </c>
      <c r="G5" s="29"/>
      <c r="H5" s="28">
        <v>0.96599999999999997</v>
      </c>
    </row>
    <row r="6" spans="1:9" ht="15.6">
      <c r="A6" s="26">
        <v>15</v>
      </c>
      <c r="B6" s="31">
        <v>0.95099999999999996</v>
      </c>
      <c r="C6" s="31">
        <v>0.95099999999999996</v>
      </c>
      <c r="D6" s="29"/>
      <c r="E6" s="28">
        <v>0.71099999999999997</v>
      </c>
      <c r="F6" s="28">
        <v>0.86599999999999999</v>
      </c>
      <c r="G6" s="29"/>
      <c r="H6" s="28">
        <v>0.95099999999999996</v>
      </c>
    </row>
    <row r="7" spans="1:9" ht="15.6">
      <c r="A7" s="26">
        <v>18</v>
      </c>
      <c r="B7" s="30">
        <v>0.96</v>
      </c>
      <c r="C7" s="31">
        <v>0.94499999999999995</v>
      </c>
      <c r="D7" s="30">
        <v>1</v>
      </c>
      <c r="E7" s="28">
        <v>0.61699999999999999</v>
      </c>
      <c r="F7" s="28">
        <v>0.73499999999999999</v>
      </c>
      <c r="G7" s="28">
        <v>0.86599999999999999</v>
      </c>
      <c r="H7" s="28">
        <v>0.90200000000000002</v>
      </c>
    </row>
    <row r="8" spans="1:9" ht="16.2" thickBot="1">
      <c r="A8" s="26">
        <v>21</v>
      </c>
      <c r="B8" s="31">
        <v>0.95299999999999996</v>
      </c>
      <c r="C8" s="31">
        <v>0.95299999999999996</v>
      </c>
      <c r="D8" s="29"/>
      <c r="E8" s="28">
        <v>0.53800000000000003</v>
      </c>
      <c r="F8" s="28">
        <v>0.65</v>
      </c>
      <c r="G8" s="29"/>
      <c r="H8" s="28">
        <v>0.86599999999999999</v>
      </c>
    </row>
    <row r="9" spans="1:9" ht="19.8" thickBot="1">
      <c r="A9" s="21">
        <v>24</v>
      </c>
      <c r="B9" s="24">
        <v>0.95799999999999996</v>
      </c>
      <c r="C9" s="24">
        <v>0.96599999999999997</v>
      </c>
      <c r="D9" s="23"/>
      <c r="E9" s="24">
        <v>1</v>
      </c>
      <c r="F9" s="22">
        <v>0.58799999999999997</v>
      </c>
      <c r="G9" s="23"/>
      <c r="H9" s="22">
        <v>0.76600000000000001</v>
      </c>
    </row>
    <row r="10" spans="1:9" ht="19.8" thickBot="1">
      <c r="A10" s="21">
        <v>27</v>
      </c>
      <c r="B10" s="25">
        <v>0.95399999999999996</v>
      </c>
      <c r="C10" s="25">
        <v>0.95399999999999996</v>
      </c>
      <c r="D10" s="25">
        <v>0.94499999999999995</v>
      </c>
      <c r="E10" s="25">
        <v>0.94099999999999995</v>
      </c>
      <c r="F10" s="22">
        <v>0.52500000000000002</v>
      </c>
      <c r="G10" s="22">
        <v>0.61699999999999999</v>
      </c>
      <c r="H10" s="22">
        <v>0.69499999999999995</v>
      </c>
    </row>
    <row r="11" spans="1:9" ht="19.8" thickBot="1">
      <c r="A11" s="21">
        <v>30</v>
      </c>
      <c r="B11" s="24">
        <v>0.95699999999999996</v>
      </c>
      <c r="C11" s="25">
        <v>0.95099999999999996</v>
      </c>
      <c r="D11" s="23"/>
      <c r="E11" s="25">
        <v>0.95099999999999996</v>
      </c>
      <c r="F11" s="24">
        <v>1</v>
      </c>
      <c r="G11" s="23"/>
      <c r="H11" s="22">
        <v>0.64</v>
      </c>
    </row>
    <row r="12" spans="1:9" ht="19.8" thickBot="1">
      <c r="A12" s="21">
        <v>33</v>
      </c>
      <c r="B12" s="25">
        <v>0.95399999999999996</v>
      </c>
      <c r="C12" s="25">
        <v>0.95399999999999996</v>
      </c>
      <c r="D12" s="23"/>
      <c r="E12" s="25">
        <v>0.95399999999999996</v>
      </c>
      <c r="F12" s="25">
        <v>0.94599999999999995</v>
      </c>
      <c r="G12" s="23"/>
      <c r="H12" s="22">
        <v>0.59099999999999997</v>
      </c>
    </row>
    <row r="13" spans="1:9" ht="19.8" thickBot="1">
      <c r="A13" s="21">
        <v>36</v>
      </c>
      <c r="B13" s="24">
        <v>0.95599999999999996</v>
      </c>
      <c r="C13" s="24">
        <v>0.96</v>
      </c>
      <c r="D13" s="24">
        <v>0.96599999999999997</v>
      </c>
      <c r="E13" s="25">
        <v>0.94499999999999995</v>
      </c>
      <c r="F13" s="25">
        <v>0.94199999999999995</v>
      </c>
      <c r="G13" s="24">
        <v>1</v>
      </c>
      <c r="H13" s="22">
        <v>0.55100000000000005</v>
      </c>
    </row>
    <row r="14" spans="1:9" ht="19.8" thickBot="1">
      <c r="A14" s="21">
        <v>39</v>
      </c>
      <c r="B14" s="25">
        <v>0.95399999999999996</v>
      </c>
      <c r="C14" s="25">
        <v>0.95399999999999996</v>
      </c>
      <c r="D14" s="23"/>
      <c r="E14" s="25">
        <v>0.95399999999999996</v>
      </c>
      <c r="F14" s="25">
        <v>0.95399999999999996</v>
      </c>
      <c r="G14" s="23"/>
      <c r="H14" s="22">
        <v>0.51100000000000001</v>
      </c>
    </row>
    <row r="15" spans="1:9" ht="19.8" thickBot="1">
      <c r="A15" s="21">
        <v>42</v>
      </c>
      <c r="B15" s="24">
        <v>0.95599999999999996</v>
      </c>
      <c r="C15" s="25">
        <v>0.95299999999999996</v>
      </c>
      <c r="D15" s="23"/>
      <c r="E15" s="25">
        <v>0.95299999999999996</v>
      </c>
      <c r="F15" s="25">
        <v>0.95299999999999996</v>
      </c>
      <c r="G15" s="23"/>
      <c r="H15" s="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Design Steps</vt:lpstr>
      <vt:lpstr>Slot Pole Combination</vt:lpstr>
      <vt:lpstr>Apex</vt:lpstr>
      <vt:lpstr>Main Dimensions</vt:lpstr>
      <vt:lpstr>6P_36S</vt:lpstr>
      <vt:lpstr>Winding Factor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2024-10-15T11:29:36Z</dcterms:modified>
</cp:coreProperties>
</file>