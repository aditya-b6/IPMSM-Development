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IPMSM Motor Development\"/>
    </mc:Choice>
  </mc:AlternateContent>
  <xr:revisionPtr revIDLastSave="0" documentId="13_ncr:1_{A1BFA2B8-6EEE-435F-A667-5C149B461B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or Design" sheetId="1" r:id="rId1"/>
    <sheet name="Basic Paramet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3" i="2"/>
  <c r="G4" i="2" s="1"/>
</calcChain>
</file>

<file path=xl/sharedStrings.xml><?xml version="1.0" encoding="utf-8"?>
<sst xmlns="http://schemas.openxmlformats.org/spreadsheetml/2006/main" count="132" uniqueCount="93">
  <si>
    <t>Stator Details</t>
  </si>
  <si>
    <t>description</t>
  </si>
  <si>
    <t>value</t>
  </si>
  <si>
    <t>Stator Outer Diamater</t>
  </si>
  <si>
    <t>D</t>
  </si>
  <si>
    <t>Stator Inner Diameter</t>
  </si>
  <si>
    <t>$Stat_OD</t>
  </si>
  <si>
    <t>Rotor Details</t>
  </si>
  <si>
    <t>hs0</t>
  </si>
  <si>
    <t>hs1</t>
  </si>
  <si>
    <t>hs2</t>
  </si>
  <si>
    <t>Slot Parameter</t>
  </si>
  <si>
    <t>alpha_s</t>
  </si>
  <si>
    <t xml:space="preserve">180 degrees/No. of stator slots </t>
  </si>
  <si>
    <t>180/36=5</t>
  </si>
  <si>
    <t>bs0</t>
  </si>
  <si>
    <t>mm</t>
  </si>
  <si>
    <t>deg</t>
  </si>
  <si>
    <t>units</t>
  </si>
  <si>
    <t>bs1</t>
  </si>
  <si>
    <t>Independent Variable Name</t>
  </si>
  <si>
    <t>Dependent Variable Name</t>
  </si>
  <si>
    <t>2*(tan(alpha_s)*(D/2+hs0+hs1)-$wst/(2*cos(alpha_s)))</t>
  </si>
  <si>
    <t>Slot Opening Width</t>
  </si>
  <si>
    <t>beta_s</t>
  </si>
  <si>
    <t>Circular Slot Curve Angle</t>
  </si>
  <si>
    <t>90-alpha_s</t>
  </si>
  <si>
    <t>hs22</t>
  </si>
  <si>
    <t>(tan(alpha_s)*(D/2+hs0+hs1+hs2)-$wst/(2*cos(alpha_s)))/(sin(beta_s)+tan(alpha_s)*(1+cos(beta_s)))</t>
  </si>
  <si>
    <t>hs21</t>
  </si>
  <si>
    <t>hs2-hs22</t>
  </si>
  <si>
    <t>No of duplicates</t>
  </si>
  <si>
    <t>No. of stator slots + 1</t>
  </si>
  <si>
    <t>Angle of duplicates</t>
  </si>
  <si>
    <t>360/No. of stator slots</t>
  </si>
  <si>
    <t>wst</t>
  </si>
  <si>
    <t>No. of Stator Slots</t>
  </si>
  <si>
    <t>width of stator tooth</t>
  </si>
  <si>
    <t>Used to calculate hs21</t>
  </si>
  <si>
    <t>Used to find Curve Radius</t>
  </si>
  <si>
    <t>g</t>
  </si>
  <si>
    <t>air gap between stator and roto</t>
  </si>
  <si>
    <t>Sha_D</t>
  </si>
  <si>
    <t>Shaft Diameter</t>
  </si>
  <si>
    <t>dpc</t>
  </si>
  <si>
    <t>width between magnets and rotor OD</t>
  </si>
  <si>
    <t>alpha_v</t>
  </si>
  <si>
    <t>internal angle between magnets</t>
  </si>
  <si>
    <t>dm</t>
  </si>
  <si>
    <t>depth of magnet</t>
  </si>
  <si>
    <t>wrib</t>
  </si>
  <si>
    <t>width of rib &gt;= 2*thk of lamination</t>
  </si>
  <si>
    <t>rbr</t>
  </si>
  <si>
    <t>fillet radius of magnet</t>
  </si>
  <si>
    <t>no. of rotor barriers</t>
  </si>
  <si>
    <t>Materials</t>
  </si>
  <si>
    <t>Stator and Rotor</t>
  </si>
  <si>
    <t>M22_4G</t>
  </si>
  <si>
    <t>Shaft</t>
  </si>
  <si>
    <t>Stainless steel</t>
  </si>
  <si>
    <t>Magnet</t>
  </si>
  <si>
    <t>Arnold_Magnetics_N42UH_120C</t>
  </si>
  <si>
    <t>xv</t>
  </si>
  <si>
    <t>yv</t>
  </si>
  <si>
    <t>Analysis Results</t>
  </si>
  <si>
    <t>Magnetic loading</t>
  </si>
  <si>
    <t xml:space="preserve">Magnetizing Direction </t>
  </si>
  <si>
    <t>tv*cos(theta_r0+0*alpha_p)</t>
  </si>
  <si>
    <t>set the dimensions of magnet to match the answer with analytical results</t>
  </si>
  <si>
    <t>Change</t>
  </si>
  <si>
    <t>Value</t>
  </si>
  <si>
    <t>Description</t>
  </si>
  <si>
    <t>Parameter</t>
  </si>
  <si>
    <t>Unit</t>
  </si>
  <si>
    <t>Independent Variables</t>
  </si>
  <si>
    <t>Dependent Variables</t>
  </si>
  <si>
    <t>P_out</t>
  </si>
  <si>
    <t>kW</t>
  </si>
  <si>
    <t>Ouput Power</t>
  </si>
  <si>
    <t>RPM</t>
  </si>
  <si>
    <t>Rated Speed</t>
  </si>
  <si>
    <t>Battery DC Voltage</t>
  </si>
  <si>
    <t>DC</t>
  </si>
  <si>
    <t>Voltage drop</t>
  </si>
  <si>
    <t>V</t>
  </si>
  <si>
    <t>Wm</t>
  </si>
  <si>
    <t>rad/s</t>
  </si>
  <si>
    <t>Motor speed in radians</t>
  </si>
  <si>
    <t>Nm</t>
  </si>
  <si>
    <t>Rated Torque</t>
  </si>
  <si>
    <t>Rated RPM</t>
  </si>
  <si>
    <t>Torque Over design</t>
  </si>
  <si>
    <t>Design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</si>
</sst>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3" borderId="1" xfId="0" applyFill="1" applyBorder="1"/>
    <xf numFmtId="9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283029</xdr:rowOff>
    </xdr:from>
    <xdr:to>
      <xdr:col>6</xdr:col>
      <xdr:colOff>562693</xdr:colOff>
      <xdr:row>21</xdr:row>
      <xdr:rowOff>138077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92DC2-B7AA-F4DD-4576-9A2F718D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"/>
          <a:ext cx="5853150" cy="3338477"/>
        </a:xfrm>
        <a:prstGeom prst="rect">
          <a:avLst/>
        </a:prstGeom>
      </xdr:spPr>
    </xdr:pic>
    <xdr:clientData/>
  </xdr:twoCellAnchor>
  <xdr:twoCellAnchor editAs="oneCell">
    <xdr:from>
      <xdr:col>0</xdr:col>
      <xdr:colOff>87086</xdr:colOff>
      <xdr:row>24</xdr:row>
      <xdr:rowOff>163285</xdr:rowOff>
    </xdr:from>
    <xdr:to>
      <xdr:col>6</xdr:col>
      <xdr:colOff>545665</xdr:colOff>
      <xdr:row>40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AA0F1-C17D-26B1-BD2E-43D49824B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86" y="4746171"/>
          <a:ext cx="5749036" cy="2982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P46"/>
  <sheetViews>
    <sheetView topLeftCell="E1" zoomScale="70" zoomScaleNormal="70" workbookViewId="0">
      <selection activeCell="O3" sqref="O3"/>
    </sheetView>
  </sheetViews>
  <sheetFormatPr defaultRowHeight="14.4" x14ac:dyDescent="0.3"/>
  <cols>
    <col min="3" max="3" width="21" bestFit="1" customWidth="1"/>
    <col min="4" max="4" width="19.88671875" customWidth="1"/>
    <col min="5" max="5" width="9.6640625" customWidth="1"/>
    <col min="8" max="8" width="28.21875" customWidth="1"/>
    <col min="9" max="9" width="48.88671875" customWidth="1"/>
    <col min="13" max="13" width="23.88671875" customWidth="1"/>
    <col min="14" max="14" width="31.21875" customWidth="1"/>
    <col min="15" max="15" width="93.5546875" bestFit="1" customWidth="1"/>
    <col min="16" max="16" width="13.6640625" customWidth="1"/>
  </cols>
  <sheetData>
    <row r="3" spans="8:16" ht="15" thickBot="1" x14ac:dyDescent="0.35"/>
    <row r="4" spans="8:16" ht="26.4" thickBot="1" x14ac:dyDescent="0.55000000000000004">
      <c r="H4" s="10" t="s">
        <v>0</v>
      </c>
      <c r="I4" s="11"/>
      <c r="J4" s="11"/>
      <c r="K4" s="11"/>
      <c r="L4" s="11"/>
      <c r="M4" s="11"/>
      <c r="N4" s="11"/>
      <c r="O4" s="11"/>
      <c r="P4" s="12"/>
    </row>
    <row r="5" spans="8:16" x14ac:dyDescent="0.3">
      <c r="H5" s="7" t="s">
        <v>20</v>
      </c>
      <c r="I5" s="7" t="s">
        <v>1</v>
      </c>
      <c r="J5" s="7" t="s">
        <v>2</v>
      </c>
      <c r="K5" s="7" t="s">
        <v>18</v>
      </c>
      <c r="M5" s="7" t="s">
        <v>21</v>
      </c>
      <c r="N5" s="7" t="s">
        <v>1</v>
      </c>
      <c r="O5" s="7" t="s">
        <v>2</v>
      </c>
      <c r="P5" s="7" t="s">
        <v>18</v>
      </c>
    </row>
    <row r="6" spans="8:16" x14ac:dyDescent="0.3">
      <c r="H6" s="1" t="s">
        <v>6</v>
      </c>
      <c r="I6" s="1" t="s">
        <v>3</v>
      </c>
      <c r="J6" s="1">
        <v>110</v>
      </c>
      <c r="K6" s="1" t="s">
        <v>16</v>
      </c>
      <c r="M6" s="1" t="s">
        <v>19</v>
      </c>
      <c r="N6" s="1" t="s">
        <v>23</v>
      </c>
      <c r="O6" s="2" t="s">
        <v>22</v>
      </c>
      <c r="P6" s="1" t="s">
        <v>16</v>
      </c>
    </row>
    <row r="7" spans="8:16" x14ac:dyDescent="0.3">
      <c r="H7" s="1" t="s">
        <v>4</v>
      </c>
      <c r="I7" s="1" t="s">
        <v>5</v>
      </c>
      <c r="J7" s="1">
        <v>85</v>
      </c>
      <c r="K7" s="1" t="s">
        <v>16</v>
      </c>
      <c r="M7" s="1" t="s">
        <v>24</v>
      </c>
      <c r="N7" s="1" t="s">
        <v>25</v>
      </c>
      <c r="O7" s="1" t="s">
        <v>26</v>
      </c>
      <c r="P7" s="1" t="s">
        <v>17</v>
      </c>
    </row>
    <row r="8" spans="8:16" x14ac:dyDescent="0.3">
      <c r="H8" s="1" t="s">
        <v>8</v>
      </c>
      <c r="I8" s="1" t="s">
        <v>11</v>
      </c>
      <c r="J8" s="1">
        <v>1.5</v>
      </c>
      <c r="K8" s="1" t="s">
        <v>16</v>
      </c>
      <c r="M8" s="1" t="s">
        <v>27</v>
      </c>
      <c r="N8" s="1" t="s">
        <v>38</v>
      </c>
      <c r="O8" s="1" t="s">
        <v>28</v>
      </c>
      <c r="P8" s="1" t="s">
        <v>16</v>
      </c>
    </row>
    <row r="9" spans="8:16" x14ac:dyDescent="0.3">
      <c r="H9" s="1" t="s">
        <v>9</v>
      </c>
      <c r="I9" s="1" t="s">
        <v>11</v>
      </c>
      <c r="J9" s="1">
        <v>1</v>
      </c>
      <c r="K9" s="1" t="s">
        <v>16</v>
      </c>
      <c r="M9" s="1" t="s">
        <v>29</v>
      </c>
      <c r="N9" s="1" t="s">
        <v>39</v>
      </c>
      <c r="O9" s="1" t="s">
        <v>30</v>
      </c>
      <c r="P9" s="1" t="s">
        <v>16</v>
      </c>
    </row>
    <row r="10" spans="8:16" x14ac:dyDescent="0.3">
      <c r="H10" s="1" t="s">
        <v>10</v>
      </c>
      <c r="I10" s="1" t="s">
        <v>11</v>
      </c>
      <c r="J10" s="1">
        <v>10</v>
      </c>
      <c r="K10" s="1" t="s">
        <v>16</v>
      </c>
      <c r="M10" s="1"/>
      <c r="N10" s="1"/>
      <c r="O10" s="1"/>
      <c r="P10" s="1"/>
    </row>
    <row r="11" spans="8:16" x14ac:dyDescent="0.3">
      <c r="H11" s="1" t="s">
        <v>12</v>
      </c>
      <c r="I11" s="1" t="s">
        <v>13</v>
      </c>
      <c r="J11" s="1" t="s">
        <v>14</v>
      </c>
      <c r="K11" s="1" t="s">
        <v>17</v>
      </c>
      <c r="M11" s="1"/>
      <c r="N11" s="1"/>
      <c r="O11" s="1"/>
      <c r="P11" s="1"/>
    </row>
    <row r="12" spans="8:16" x14ac:dyDescent="0.3">
      <c r="H12" s="1" t="s">
        <v>36</v>
      </c>
      <c r="I12" s="1"/>
      <c r="J12" s="1">
        <v>36</v>
      </c>
      <c r="K12" s="1"/>
      <c r="M12" s="1"/>
      <c r="N12" s="1"/>
      <c r="O12" s="1"/>
      <c r="P12" s="1"/>
    </row>
    <row r="13" spans="8:16" x14ac:dyDescent="0.3">
      <c r="H13" s="1" t="s">
        <v>15</v>
      </c>
      <c r="I13" s="1"/>
      <c r="J13" s="1">
        <v>1</v>
      </c>
      <c r="K13" s="1" t="s">
        <v>16</v>
      </c>
      <c r="M13" s="1"/>
      <c r="N13" s="1"/>
      <c r="O13" s="1"/>
      <c r="P13" s="1"/>
    </row>
    <row r="14" spans="8:16" x14ac:dyDescent="0.3">
      <c r="H14" s="1" t="s">
        <v>31</v>
      </c>
      <c r="I14" s="1" t="s">
        <v>32</v>
      </c>
      <c r="J14" s="1">
        <v>37</v>
      </c>
      <c r="K14" s="1"/>
      <c r="M14" s="1"/>
      <c r="N14" s="1"/>
      <c r="O14" s="1"/>
      <c r="P14" s="1"/>
    </row>
    <row r="15" spans="8:16" x14ac:dyDescent="0.3">
      <c r="H15" s="1" t="s">
        <v>33</v>
      </c>
      <c r="I15" s="1" t="s">
        <v>34</v>
      </c>
      <c r="J15" s="1">
        <v>10</v>
      </c>
      <c r="K15" s="1" t="s">
        <v>17</v>
      </c>
      <c r="M15" s="1"/>
      <c r="N15" s="1"/>
      <c r="O15" s="1"/>
      <c r="P15" s="1"/>
    </row>
    <row r="16" spans="8:16" x14ac:dyDescent="0.3">
      <c r="H16" s="1" t="s">
        <v>35</v>
      </c>
      <c r="I16" s="1" t="s">
        <v>37</v>
      </c>
      <c r="J16" s="1">
        <v>4.3</v>
      </c>
      <c r="K16" s="1" t="s">
        <v>16</v>
      </c>
      <c r="M16" s="1"/>
      <c r="N16" s="1"/>
      <c r="O16" s="1"/>
      <c r="P16" s="1"/>
    </row>
    <row r="17" spans="8:16" x14ac:dyDescent="0.3">
      <c r="H17" s="1"/>
      <c r="I17" s="1"/>
      <c r="J17" s="1"/>
      <c r="K17" s="1"/>
      <c r="M17" s="1"/>
      <c r="N17" s="1"/>
      <c r="O17" s="1"/>
      <c r="P17" s="1"/>
    </row>
    <row r="18" spans="8:16" x14ac:dyDescent="0.3">
      <c r="H18" s="1"/>
      <c r="I18" s="1"/>
      <c r="J18" s="1"/>
      <c r="K18" s="1"/>
      <c r="M18" s="1"/>
      <c r="N18" s="1"/>
      <c r="O18" s="1"/>
      <c r="P18" s="1"/>
    </row>
    <row r="19" spans="8:16" x14ac:dyDescent="0.3">
      <c r="H19" s="1"/>
      <c r="I19" s="1"/>
      <c r="J19" s="1"/>
      <c r="K19" s="1"/>
      <c r="M19" s="1"/>
      <c r="N19" s="1"/>
      <c r="O19" s="1"/>
      <c r="P19" s="1"/>
    </row>
    <row r="20" spans="8:16" x14ac:dyDescent="0.3">
      <c r="H20" s="1"/>
      <c r="I20" s="1"/>
      <c r="J20" s="1"/>
      <c r="K20" s="1"/>
      <c r="M20" s="1"/>
      <c r="N20" s="1"/>
      <c r="O20" s="1"/>
      <c r="P20" s="1"/>
    </row>
    <row r="21" spans="8:16" x14ac:dyDescent="0.3">
      <c r="H21" s="4"/>
      <c r="I21" s="4"/>
      <c r="J21" s="4"/>
      <c r="K21" s="4"/>
      <c r="M21" s="4"/>
      <c r="N21" s="4"/>
      <c r="O21" s="4"/>
      <c r="P21" s="4"/>
    </row>
    <row r="22" spans="8:16" x14ac:dyDescent="0.3">
      <c r="H22" s="1"/>
      <c r="I22" s="1"/>
      <c r="J22" s="1"/>
      <c r="K22" s="1"/>
      <c r="L22" s="1"/>
      <c r="M22" s="1"/>
      <c r="N22" s="1"/>
      <c r="O22" s="1"/>
      <c r="P22" s="1"/>
    </row>
    <row r="23" spans="8:16" ht="15" thickBot="1" x14ac:dyDescent="0.35"/>
    <row r="24" spans="8:16" x14ac:dyDescent="0.3">
      <c r="H24" s="13" t="s">
        <v>7</v>
      </c>
      <c r="I24" s="14"/>
      <c r="J24" s="14"/>
      <c r="K24" s="14"/>
      <c r="L24" s="14"/>
      <c r="M24" s="14"/>
      <c r="N24" s="14"/>
      <c r="O24" s="14"/>
      <c r="P24" s="15"/>
    </row>
    <row r="25" spans="8:16" ht="15" thickBot="1" x14ac:dyDescent="0.35">
      <c r="H25" s="16"/>
      <c r="I25" s="17"/>
      <c r="J25" s="17"/>
      <c r="K25" s="17"/>
      <c r="L25" s="17"/>
      <c r="M25" s="17"/>
      <c r="N25" s="17"/>
      <c r="O25" s="17"/>
      <c r="P25" s="18"/>
    </row>
    <row r="26" spans="8:16" x14ac:dyDescent="0.3">
      <c r="H26" s="7" t="s">
        <v>20</v>
      </c>
      <c r="I26" s="7" t="s">
        <v>1</v>
      </c>
      <c r="J26" s="7" t="s">
        <v>2</v>
      </c>
      <c r="K26" s="7" t="s">
        <v>18</v>
      </c>
      <c r="M26" s="7" t="s">
        <v>21</v>
      </c>
      <c r="N26" s="7" t="s">
        <v>1</v>
      </c>
      <c r="O26" s="7" t="s">
        <v>2</v>
      </c>
      <c r="P26" s="7" t="s">
        <v>18</v>
      </c>
    </row>
    <row r="27" spans="8:16" x14ac:dyDescent="0.3">
      <c r="H27" s="1" t="s">
        <v>40</v>
      </c>
      <c r="I27" s="1" t="s">
        <v>41</v>
      </c>
      <c r="J27" s="1">
        <v>0.7</v>
      </c>
      <c r="K27" s="1" t="s">
        <v>16</v>
      </c>
      <c r="M27" s="1" t="s">
        <v>62</v>
      </c>
      <c r="N27" s="1" t="s">
        <v>66</v>
      </c>
      <c r="O27" s="1" t="s">
        <v>67</v>
      </c>
      <c r="P27" s="1"/>
    </row>
    <row r="28" spans="8:16" x14ac:dyDescent="0.3">
      <c r="H28" s="1" t="s">
        <v>42</v>
      </c>
      <c r="I28" s="1" t="s">
        <v>43</v>
      </c>
      <c r="J28" s="1">
        <v>50</v>
      </c>
      <c r="K28" s="1" t="s">
        <v>16</v>
      </c>
      <c r="M28" s="1" t="s">
        <v>63</v>
      </c>
      <c r="N28" s="1" t="s">
        <v>66</v>
      </c>
      <c r="O28" s="1"/>
      <c r="P28" s="1"/>
    </row>
    <row r="29" spans="8:16" x14ac:dyDescent="0.3">
      <c r="H29" s="1" t="s">
        <v>44</v>
      </c>
      <c r="I29" s="1" t="s">
        <v>45</v>
      </c>
      <c r="J29" s="1">
        <v>5</v>
      </c>
      <c r="K29" s="1" t="s">
        <v>16</v>
      </c>
      <c r="M29" s="1"/>
      <c r="N29" s="1"/>
      <c r="O29" s="1"/>
      <c r="P29" s="1"/>
    </row>
    <row r="30" spans="8:16" x14ac:dyDescent="0.3">
      <c r="H30" s="1" t="s">
        <v>46</v>
      </c>
      <c r="I30" s="1" t="s">
        <v>47</v>
      </c>
      <c r="J30" s="1">
        <v>170</v>
      </c>
      <c r="K30" s="1" t="s">
        <v>17</v>
      </c>
      <c r="M30" s="1"/>
      <c r="N30" s="1"/>
      <c r="O30" s="1"/>
      <c r="P30" s="1"/>
    </row>
    <row r="31" spans="8:16" x14ac:dyDescent="0.3">
      <c r="H31" s="1" t="s">
        <v>48</v>
      </c>
      <c r="I31" s="1" t="s">
        <v>49</v>
      </c>
      <c r="J31" s="1">
        <v>3</v>
      </c>
      <c r="K31" s="1" t="s">
        <v>16</v>
      </c>
      <c r="M31" s="1"/>
      <c r="N31" s="1"/>
      <c r="O31" s="1"/>
      <c r="P31" s="1"/>
    </row>
    <row r="32" spans="8:16" x14ac:dyDescent="0.3">
      <c r="H32" s="1" t="s">
        <v>50</v>
      </c>
      <c r="I32" s="1" t="s">
        <v>51</v>
      </c>
      <c r="J32" s="1">
        <v>1.5</v>
      </c>
      <c r="K32" s="1" t="s">
        <v>16</v>
      </c>
    </row>
    <row r="33" spans="8:15" x14ac:dyDescent="0.3">
      <c r="H33" s="1" t="s">
        <v>52</v>
      </c>
      <c r="I33" s="1" t="s">
        <v>53</v>
      </c>
      <c r="J33" s="1">
        <v>1</v>
      </c>
      <c r="K33" s="1" t="s">
        <v>16</v>
      </c>
    </row>
    <row r="34" spans="8:15" x14ac:dyDescent="0.3">
      <c r="H34" s="1"/>
      <c r="I34" s="1" t="s">
        <v>54</v>
      </c>
      <c r="J34" s="1">
        <v>6</v>
      </c>
      <c r="K34" s="1"/>
    </row>
    <row r="35" spans="8:15" x14ac:dyDescent="0.3">
      <c r="H35" s="1"/>
      <c r="I35" s="1"/>
      <c r="J35" s="1"/>
      <c r="K35" s="1"/>
    </row>
    <row r="42" spans="8:15" x14ac:dyDescent="0.3">
      <c r="M42" t="s">
        <v>64</v>
      </c>
    </row>
    <row r="43" spans="8:15" x14ac:dyDescent="0.3">
      <c r="H43" s="3" t="s">
        <v>55</v>
      </c>
      <c r="I43" s="5"/>
      <c r="M43" s="3" t="s">
        <v>71</v>
      </c>
      <c r="N43" s="3" t="s">
        <v>70</v>
      </c>
      <c r="O43" s="3" t="s">
        <v>69</v>
      </c>
    </row>
    <row r="44" spans="8:15" x14ac:dyDescent="0.3">
      <c r="H44" s="1" t="s">
        <v>56</v>
      </c>
      <c r="I44" s="6" t="s">
        <v>57</v>
      </c>
      <c r="M44" s="1" t="s">
        <v>65</v>
      </c>
      <c r="N44" s="1">
        <v>0.39319999999999999</v>
      </c>
      <c r="O44" s="1" t="s">
        <v>68</v>
      </c>
    </row>
    <row r="45" spans="8:15" x14ac:dyDescent="0.3">
      <c r="H45" s="1" t="s">
        <v>58</v>
      </c>
      <c r="I45" s="6" t="s">
        <v>59</v>
      </c>
    </row>
    <row r="46" spans="8:15" x14ac:dyDescent="0.3">
      <c r="H46" s="1" t="s">
        <v>60</v>
      </c>
      <c r="I46" s="6" t="s">
        <v>61</v>
      </c>
    </row>
  </sheetData>
  <mergeCells count="2">
    <mergeCell ref="H4:P4"/>
    <mergeCell ref="H24:P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8D99-E730-47A9-92B8-4133EC4AC8EC}">
  <dimension ref="A1:I8"/>
  <sheetViews>
    <sheetView tabSelected="1" workbookViewId="0">
      <selection activeCell="G14" sqref="G14"/>
    </sheetView>
  </sheetViews>
  <sheetFormatPr defaultRowHeight="14.4" x14ac:dyDescent="0.3"/>
  <cols>
    <col min="1" max="1" width="17.6640625" customWidth="1"/>
    <col min="4" max="4" width="23" customWidth="1"/>
    <col min="6" max="6" width="14.33203125" customWidth="1"/>
    <col min="8" max="8" width="9.77734375" customWidth="1"/>
    <col min="9" max="9" width="25.44140625" customWidth="1"/>
  </cols>
  <sheetData>
    <row r="1" spans="1:9" x14ac:dyDescent="0.3">
      <c r="A1" s="19" t="s">
        <v>74</v>
      </c>
      <c r="B1" s="19"/>
      <c r="C1" s="19"/>
      <c r="D1" s="19"/>
      <c r="F1" s="19" t="s">
        <v>75</v>
      </c>
      <c r="G1" s="19"/>
      <c r="H1" s="19"/>
      <c r="I1" s="19"/>
    </row>
    <row r="2" spans="1:9" ht="13.8" customHeight="1" x14ac:dyDescent="0.3">
      <c r="A2" s="8" t="s">
        <v>72</v>
      </c>
      <c r="B2" s="8" t="s">
        <v>70</v>
      </c>
      <c r="C2" s="8" t="s">
        <v>73</v>
      </c>
      <c r="D2" s="8" t="s">
        <v>71</v>
      </c>
      <c r="F2" s="8" t="s">
        <v>72</v>
      </c>
      <c r="G2" s="8" t="s">
        <v>70</v>
      </c>
      <c r="H2" s="8" t="s">
        <v>73</v>
      </c>
      <c r="I2" s="8" t="s">
        <v>71</v>
      </c>
    </row>
    <row r="3" spans="1:9" x14ac:dyDescent="0.3">
      <c r="A3" t="s">
        <v>76</v>
      </c>
      <c r="B3">
        <v>3</v>
      </c>
      <c r="C3" t="s">
        <v>77</v>
      </c>
      <c r="D3" t="s">
        <v>78</v>
      </c>
      <c r="F3" t="s">
        <v>85</v>
      </c>
      <c r="G3">
        <f>B4*2*PI()/60</f>
        <v>471.23889803846902</v>
      </c>
      <c r="H3" t="s">
        <v>86</v>
      </c>
      <c r="I3" t="s">
        <v>87</v>
      </c>
    </row>
    <row r="4" spans="1:9" x14ac:dyDescent="0.3">
      <c r="A4" t="s">
        <v>90</v>
      </c>
      <c r="B4">
        <v>4500</v>
      </c>
      <c r="C4" t="s">
        <v>79</v>
      </c>
      <c r="D4" t="s">
        <v>80</v>
      </c>
      <c r="F4" t="s">
        <v>89</v>
      </c>
      <c r="G4">
        <f>B3*1000/G3</f>
        <v>6.3661977236758132</v>
      </c>
      <c r="H4" t="s">
        <v>88</v>
      </c>
    </row>
    <row r="5" spans="1:9" x14ac:dyDescent="0.3">
      <c r="A5" t="s">
        <v>91</v>
      </c>
      <c r="B5" s="9">
        <v>0.1</v>
      </c>
      <c r="F5" t="s">
        <v>92</v>
      </c>
      <c r="G5">
        <f>G4*(B5+1)</f>
        <v>7.0028174960433951</v>
      </c>
      <c r="H5" t="s">
        <v>88</v>
      </c>
    </row>
    <row r="7" spans="1:9" x14ac:dyDescent="0.3">
      <c r="A7" t="s">
        <v>81</v>
      </c>
      <c r="C7" t="s">
        <v>82</v>
      </c>
    </row>
    <row r="8" spans="1:9" x14ac:dyDescent="0.3">
      <c r="A8" t="s">
        <v>83</v>
      </c>
      <c r="C8" t="s">
        <v>84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Stator Design</vt:lpstr>
      <vt:lpstr>Basic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Bhokare</dc:creator>
  <cp:lastModifiedBy>Aditya Bhokare</cp:lastModifiedBy>
  <dcterms:created xsi:type="dcterms:W3CDTF">2015-06-05T18:17:20Z</dcterms:created>
  <dcterms:modified xsi:type="dcterms:W3CDTF">2023-12-20T11:35:07Z</dcterms:modified>
</cp:coreProperties>
</file>